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5B87C109-2BDC-4805-9A7C-9A3B12E168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ÁRIO" sheetId="1" r:id="rId1"/>
    <sheet name="26196743 - EDIVANDE GOUVEIA D" sheetId="2" r:id="rId2"/>
    <sheet name="26157284 - TIO ROBERTO" sheetId="3" r:id="rId3"/>
    <sheet name="26134553 - NILO PEREIRA" sheetId="4" r:id="rId4"/>
    <sheet name="26115530 - JOSE FIRMINO DA VE" sheetId="5" r:id="rId5"/>
    <sheet name="26187418 - NOSSA PRATA" sheetId="6" r:id="rId6"/>
    <sheet name="26116537 - JESUS DE NAZARE" sheetId="7" r:id="rId7"/>
    <sheet name="26182580 - MARIA ANUNCIADA DE" sheetId="8" r:id="rId8"/>
    <sheet name="26116790 - CONEGO COSTA CARVA" sheetId="9" r:id="rId9"/>
    <sheet name="26116901 - PRES TANCREDO DE A" sheetId="10" r:id="rId10"/>
    <sheet name="26116715 - ESCOLA MANOEL GONC" sheetId="11" r:id="rId11"/>
    <sheet name="26116057 - BRIGADEIRO ALDO PI" sheetId="12" r:id="rId12"/>
    <sheet name="26116162 - MARIA LUZIA PESSOA" sheetId="13" r:id="rId13"/>
    <sheet name="26116510 - MARILIA RUSSEL DE" sheetId="14" r:id="rId14"/>
    <sheet name="26136549 - PROF MARIA CONCEIC" sheetId="15" r:id="rId15"/>
    <sheet name="26116197 - PROF RUBENITA DE L" sheetId="16" r:id="rId16"/>
    <sheet name="26116766 - ABELARDO SALES DE" sheetId="17" r:id="rId17"/>
    <sheet name="26116740 - AGAMENON MAGALHAES" sheetId="18" r:id="rId18"/>
    <sheet name="26115700 - AMARO ALEXANDRINO" sheetId="19" r:id="rId19"/>
    <sheet name="26116243 - COMENDADOR ARTHUR" sheetId="20" r:id="rId20"/>
    <sheet name="26188678 - CORONEL JOAO PEREI" sheetId="21" r:id="rId21"/>
    <sheet name="26188686 - CORONEL JOSE JOAQU" sheetId="22" r:id="rId22"/>
    <sheet name="26188694 - DOUTOR GERALDO PIN" sheetId="23" r:id="rId23"/>
    <sheet name="26116286 - CARLOS ALVES" sheetId="24" r:id="rId24"/>
    <sheet name="26194139 - NELSON BANDEIRA DE" sheetId="25" r:id="rId25"/>
    <sheet name="26116804 - GELDA AMORIM" sheetId="26" r:id="rId26"/>
    <sheet name="26116812 - EDISON GOMES DO RE" sheetId="27" r:id="rId27"/>
    <sheet name="26188708 - ESCRITOR ARIANO VI" sheetId="28" r:id="rId28"/>
    <sheet name="26188660 - ESCRITOR CARLOS DR" sheetId="29" r:id="rId29"/>
    <sheet name="26116081 - FREDERICO LUNDGREN" sheetId="30" r:id="rId30"/>
    <sheet name="26170230 - GOVERNADOR CARLOS" sheetId="31" r:id="rId31"/>
    <sheet name="26179172 - GOVERNADOR MIGUEL" sheetId="32" r:id="rId32"/>
    <sheet name="26116820 - HEINZ HERING" sheetId="33" r:id="rId33"/>
    <sheet name="26188600 - IMPERATRIZ MARIA L" sheetId="34" r:id="rId34"/>
    <sheet name="26116839 - IRMA ASSUNTA" sheetId="35" r:id="rId35"/>
    <sheet name="26116847 - JAIME GONCALVES BO" sheetId="36" r:id="rId36"/>
    <sheet name="26116529 - JANDIRA WALDERLEY" sheetId="37" r:id="rId37"/>
    <sheet name="26116251 - JOAO F DE ALBUQUER" sheetId="38" r:id="rId38"/>
    <sheet name="26188716 - MANOEL ALVES DE MO" sheetId="39" r:id="rId39"/>
    <sheet name="26116260 - MARCILIO DIAS" sheetId="40" r:id="rId40"/>
    <sheet name="26116154 - MARIA DAS NEVES" sheetId="41" r:id="rId41"/>
    <sheet name="26193841 - MARIA JOSE BARBOSA" sheetId="42" r:id="rId42"/>
    <sheet name="26117215 - MATA DO RONCA" sheetId="43" r:id="rId43"/>
    <sheet name="26116880 - MINISTRO ETELVINO" sheetId="44" r:id="rId44"/>
    <sheet name="26116120 - MINISTRO MARCOS FR" sheetId="45" r:id="rId45"/>
    <sheet name="26196735 - MIRIAM FIRMINO DA" sheetId="46" r:id="rId46"/>
    <sheet name="26188724 - PESCADOR JOSE REIS" sheetId="47" r:id="rId47"/>
    <sheet name="26188732 - POETISA CECILIA ME" sheetId="48" r:id="rId48"/>
    <sheet name="26182564 - PAULO FREIRE" sheetId="49" r:id="rId49"/>
    <sheet name="26182556 - SALVADOR DIMECH" sheetId="50" r:id="rId50"/>
    <sheet name="26116910 - ALGA MARINA" sheetId="51" r:id="rId51"/>
    <sheet name="26188759 - EDNA MARINHO DA SI" sheetId="52" r:id="rId52"/>
    <sheet name="26188589 - IRACEMA CASTRO" sheetId="53" r:id="rId53"/>
    <sheet name="26184168 - MARGARIDA ALACOQUE" sheetId="54" r:id="rId54"/>
    <sheet name="26188546 - RADIALISTA EDVALDO" sheetId="55" r:id="rId55"/>
    <sheet name="26117509 - ROSA AMELIA" sheetId="56" r:id="rId56"/>
    <sheet name="26117339 - RURAL DE MUMBECA I" sheetId="57" r:id="rId57"/>
    <sheet name="26117380 - SAO BENTO" sheetId="58" r:id="rId58"/>
    <sheet name="26116618 - SUSIE REGIS" sheetId="59" r:id="rId59"/>
    <sheet name="26116235 - ZULIMA PINHO ALVES" sheetId="60" r:id="rId60"/>
    <sheet name="26116952 - ESCOLA PROFA TEREZ" sheetId="61" r:id="rId61"/>
    <sheet name="26117053 - FREI GUIDO" sheetId="62" r:id="rId62"/>
    <sheet name="26190486 - CEMEDI" sheetId="63" r:id="rId63"/>
  </sheets>
  <calcPr calcId="191029"/>
</workbook>
</file>

<file path=xl/calcChain.xml><?xml version="1.0" encoding="utf-8"?>
<calcChain xmlns="http://schemas.openxmlformats.org/spreadsheetml/2006/main">
  <c r="J6" i="63" l="1"/>
  <c r="E6" i="63"/>
  <c r="A6" i="63"/>
  <c r="N3" i="63"/>
  <c r="J6" i="62"/>
  <c r="E6" i="62"/>
  <c r="A6" i="62"/>
  <c r="N3" i="62"/>
  <c r="J6" i="61"/>
  <c r="E6" i="61"/>
  <c r="A6" i="61"/>
  <c r="N3" i="61"/>
  <c r="J6" i="60"/>
  <c r="E6" i="60"/>
  <c r="A6" i="60"/>
  <c r="N3" i="60"/>
  <c r="J6" i="59"/>
  <c r="E6" i="59"/>
  <c r="A6" i="59"/>
  <c r="N3" i="59"/>
  <c r="J6" i="58"/>
  <c r="E6" i="58"/>
  <c r="A6" i="58"/>
  <c r="N3" i="58"/>
  <c r="J6" i="57"/>
  <c r="E6" i="57"/>
  <c r="A6" i="57"/>
  <c r="N3" i="57"/>
  <c r="J6" i="56"/>
  <c r="E6" i="56"/>
  <c r="A6" i="56"/>
  <c r="N3" i="56"/>
  <c r="J6" i="55"/>
  <c r="E6" i="55"/>
  <c r="A6" i="55"/>
  <c r="N3" i="55"/>
  <c r="J6" i="54"/>
  <c r="E6" i="54"/>
  <c r="A6" i="54"/>
  <c r="N3" i="54"/>
  <c r="J6" i="53"/>
  <c r="E6" i="53"/>
  <c r="A6" i="53"/>
  <c r="N3" i="53"/>
  <c r="J6" i="52"/>
  <c r="E6" i="52"/>
  <c r="A6" i="52"/>
  <c r="N3" i="52"/>
  <c r="J6" i="51"/>
  <c r="E6" i="51"/>
  <c r="A6" i="51"/>
  <c r="N3" i="51"/>
  <c r="J6" i="50"/>
  <c r="E6" i="50"/>
  <c r="A6" i="50"/>
  <c r="N3" i="50"/>
  <c r="J6" i="49"/>
  <c r="E6" i="49"/>
  <c r="A6" i="49"/>
  <c r="N3" i="49"/>
  <c r="J6" i="48"/>
  <c r="E6" i="48"/>
  <c r="A6" i="48"/>
  <c r="N3" i="48"/>
  <c r="J6" i="47"/>
  <c r="E6" i="47"/>
  <c r="A6" i="47"/>
  <c r="N3" i="47"/>
  <c r="J6" i="46"/>
  <c r="E6" i="46"/>
  <c r="A6" i="46"/>
  <c r="N3" i="46"/>
  <c r="J6" i="45"/>
  <c r="E6" i="45"/>
  <c r="A6" i="45"/>
  <c r="N3" i="45"/>
  <c r="J6" i="44"/>
  <c r="E6" i="44"/>
  <c r="A6" i="44"/>
  <c r="N3" i="44"/>
  <c r="J6" i="43"/>
  <c r="E6" i="43"/>
  <c r="A6" i="43"/>
  <c r="N3" i="43"/>
  <c r="J6" i="42"/>
  <c r="E6" i="42"/>
  <c r="A6" i="42"/>
  <c r="N3" i="42"/>
  <c r="J6" i="41"/>
  <c r="E6" i="41"/>
  <c r="A6" i="41"/>
  <c r="N3" i="41"/>
  <c r="J6" i="40"/>
  <c r="E6" i="40"/>
  <c r="A6" i="40"/>
  <c r="N3" i="40"/>
  <c r="J6" i="39"/>
  <c r="E6" i="39"/>
  <c r="A6" i="39"/>
  <c r="N3" i="39"/>
  <c r="J6" i="38"/>
  <c r="E6" i="38"/>
  <c r="A6" i="38"/>
  <c r="N3" i="38"/>
  <c r="J6" i="37"/>
  <c r="E6" i="37"/>
  <c r="A6" i="37"/>
  <c r="N3" i="37"/>
  <c r="J6" i="36"/>
  <c r="E6" i="36"/>
  <c r="A6" i="36"/>
  <c r="N3" i="36"/>
  <c r="J6" i="35"/>
  <c r="E6" i="35"/>
  <c r="A6" i="35"/>
  <c r="N3" i="35"/>
  <c r="J6" i="34"/>
  <c r="E6" i="34"/>
  <c r="A6" i="34"/>
  <c r="N3" i="34"/>
  <c r="J6" i="33"/>
  <c r="E6" i="33"/>
  <c r="A6" i="33"/>
  <c r="N3" i="33"/>
  <c r="J6" i="32"/>
  <c r="E6" i="32"/>
  <c r="A6" i="32"/>
  <c r="N3" i="32"/>
  <c r="J6" i="31"/>
  <c r="E6" i="31"/>
  <c r="A6" i="31"/>
  <c r="N3" i="31"/>
  <c r="J6" i="30"/>
  <c r="E6" i="30"/>
  <c r="A6" i="30"/>
  <c r="N3" i="30"/>
  <c r="J6" i="29"/>
  <c r="E6" i="29"/>
  <c r="A6" i="29"/>
  <c r="N3" i="29"/>
  <c r="J6" i="28"/>
  <c r="E6" i="28"/>
  <c r="A6" i="28"/>
  <c r="N3" i="28"/>
  <c r="J6" i="27"/>
  <c r="E6" i="27"/>
  <c r="A6" i="27"/>
  <c r="N3" i="27"/>
  <c r="J6" i="26"/>
  <c r="E6" i="26"/>
  <c r="A6" i="26"/>
  <c r="N3" i="26"/>
  <c r="J6" i="25"/>
  <c r="E6" i="25"/>
  <c r="A6" i="25"/>
  <c r="N3" i="25"/>
  <c r="J6" i="24"/>
  <c r="E6" i="24"/>
  <c r="A6" i="24"/>
  <c r="N3" i="24"/>
  <c r="J6" i="23"/>
  <c r="E6" i="23"/>
  <c r="A6" i="23"/>
  <c r="N3" i="23"/>
  <c r="J6" i="22"/>
  <c r="E6" i="22"/>
  <c r="A6" i="22"/>
  <c r="N3" i="22"/>
  <c r="J6" i="21"/>
  <c r="E6" i="21"/>
  <c r="A6" i="21"/>
  <c r="N3" i="21"/>
  <c r="J6" i="20"/>
  <c r="E6" i="20"/>
  <c r="A6" i="20"/>
  <c r="N3" i="20"/>
  <c r="J6" i="19"/>
  <c r="E6" i="19"/>
  <c r="A6" i="19"/>
  <c r="N3" i="19"/>
  <c r="J6" i="18"/>
  <c r="E6" i="18"/>
  <c r="A6" i="18"/>
  <c r="N3" i="18"/>
  <c r="J6" i="17"/>
  <c r="E6" i="17"/>
  <c r="A6" i="17"/>
  <c r="N3" i="17"/>
  <c r="J6" i="16"/>
  <c r="E6" i="16"/>
  <c r="A6" i="16"/>
  <c r="N3" i="16"/>
  <c r="J6" i="15"/>
  <c r="E6" i="15"/>
  <c r="A6" i="15"/>
  <c r="N3" i="15"/>
  <c r="J6" i="14"/>
  <c r="E6" i="14"/>
  <c r="A6" i="14"/>
  <c r="N3" i="14"/>
  <c r="J6" i="13"/>
  <c r="E6" i="13"/>
  <c r="A6" i="13"/>
  <c r="N3" i="13"/>
  <c r="J6" i="12"/>
  <c r="E6" i="12"/>
  <c r="A6" i="12"/>
  <c r="N3" i="12"/>
  <c r="J6" i="11"/>
  <c r="E6" i="11"/>
  <c r="A6" i="11"/>
  <c r="N3" i="11"/>
  <c r="J6" i="10"/>
  <c r="E6" i="10"/>
  <c r="A6" i="10"/>
  <c r="N3" i="10"/>
  <c r="J6" i="9"/>
  <c r="E6" i="9"/>
  <c r="A6" i="9"/>
  <c r="N3" i="9"/>
  <c r="J6" i="8"/>
  <c r="E6" i="8"/>
  <c r="A6" i="8"/>
  <c r="N3" i="8"/>
  <c r="J6" i="7"/>
  <c r="E6" i="7"/>
  <c r="A6" i="7"/>
  <c r="N3" i="7"/>
  <c r="J6" i="6"/>
  <c r="E6" i="6"/>
  <c r="A6" i="6"/>
  <c r="N3" i="6"/>
  <c r="J6" i="5"/>
  <c r="E6" i="5"/>
  <c r="A6" i="5"/>
  <c r="N3" i="5"/>
  <c r="J6" i="4"/>
  <c r="E6" i="4"/>
  <c r="A6" i="4"/>
  <c r="N3" i="4"/>
  <c r="J6" i="3"/>
  <c r="E6" i="3"/>
  <c r="A6" i="3"/>
  <c r="N3" i="3"/>
  <c r="J6" i="2"/>
  <c r="E6" i="2"/>
  <c r="A6" i="2"/>
  <c r="N3" i="2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B5" i="1"/>
</calcChain>
</file>

<file path=xl/sharedStrings.xml><?xml version="1.0" encoding="utf-8"?>
<sst xmlns="http://schemas.openxmlformats.org/spreadsheetml/2006/main" count="4415" uniqueCount="282">
  <si>
    <t>SISTEMA DE MONITORAMENTO DE BUSCA ATIVA ESCOLAR (BAE)</t>
  </si>
  <si>
    <t>Secretaria de Educação e Esportes (SEPA) - Rede Municipal de Paulista / PE</t>
  </si>
  <si>
    <t>Total de Escolas na Rede:</t>
  </si>
  <si>
    <t>CÓDIGO MEC</t>
  </si>
  <si>
    <t>NOME DA UNIDADE ESCOLAR</t>
  </si>
  <si>
    <t>TELEFONE DA ESCOLA</t>
  </si>
  <si>
    <t>E-MAIL INSTITUCIONAL @EDU</t>
  </si>
  <si>
    <t>NAVEGAÇÃO RÁPIDA</t>
  </si>
  <si>
    <t>CEMEDI PROFESSORA EDIVANDE GOUVEIA DOS SANTOS</t>
  </si>
  <si>
    <t>CEMEDI TIO ROBERTO</t>
  </si>
  <si>
    <t>CENTRO DE EDUCACAO INFANTIL NILO PEREIRA</t>
  </si>
  <si>
    <t>COLEGIO MUN JOSE FIRMINO DA VEIGA</t>
  </si>
  <si>
    <t>CRECHE ESCOLA MUN NOSSA PRATA</t>
  </si>
  <si>
    <t>CRECHE MUNICIPAL JESUS DE NAZARE</t>
  </si>
  <si>
    <t>CRECHE MUNICIPAL MARIA ANUNCIADA DE ARRUDA</t>
  </si>
  <si>
    <t>EDUCANDARIO MUNICIPAL CONEGO COSTA CARVALHO</t>
  </si>
  <si>
    <t>ESC MUL PRES TANCREDO DE ALMEIDA NEVES</t>
  </si>
  <si>
    <t>ESCOLA MANOEL GONCALVES DA SILVA</t>
  </si>
  <si>
    <t>ESCOLA MUL BRIGADEIRO ALDO PINHO ALVES</t>
  </si>
  <si>
    <t>ESCOLA MUL MARIA LUZIA PESSOA DE ANDRADE</t>
  </si>
  <si>
    <t>ESCOLA MUL MARILIA RUSSEL DE PINHO ALVES</t>
  </si>
  <si>
    <t>ESCOLA MUL PROF MARIA CONCEICAO DA PAZ</t>
  </si>
  <si>
    <t>ESCOLA MUN PROF RUBENITA DE LIMA CAVALCANTE</t>
  </si>
  <si>
    <t>ESCOLA MUNICIPAL ABELARDO SALES DE SIQUEIRA</t>
  </si>
  <si>
    <t>ESCOLA MUNICIPAL AGAMENON MAGALHAES</t>
  </si>
  <si>
    <t>ESCOLA MUNICIPAL AMARO ALEXANDRINO</t>
  </si>
  <si>
    <t>ESCOLA MUNICIPAL COMENDADOR ARTHUR LUNDGREN</t>
  </si>
  <si>
    <t>ESCOLA MUNICIPAL CORONEL JOAO PEREIRA DE OLIVEIRA FILHO</t>
  </si>
  <si>
    <t>ESCOLA MUNICIPAL CORONEL JOSE JOAQUIM DE LIMA E SILVA</t>
  </si>
  <si>
    <t>ESCOLA MUNICIPAL DOUTOR GERALDO PINHO ALVES</t>
  </si>
  <si>
    <t>ESCOLA MUNICIPAL DR CARLOS ALVES</t>
  </si>
  <si>
    <t>ESCOLA MUNICIPAL DR NELSON BANDEIRA DE ANDRADE DE LIMA</t>
  </si>
  <si>
    <t>ESCOLA MUNICIPAL DRA GELDA AMORIM</t>
  </si>
  <si>
    <t>ESCOLA MUNICIPAL EDISON GOMES DO REGO</t>
  </si>
  <si>
    <t>ESCOLA MUNICIPAL ESCRITOR ARIANO VILAR SUASSUNA</t>
  </si>
  <si>
    <t>ESCOLA MUNICIPAL ESCRITOR CARLOS DRUMMOND DE ANDRADE</t>
  </si>
  <si>
    <t>ESCOLA MUNICIPAL FREDERICO LUNDGREN</t>
  </si>
  <si>
    <t>ESCOLA MUNICIPAL GOVERNADOR CARLOS WILSON CAMPOS</t>
  </si>
  <si>
    <t>ESCOLA MUNICIPAL GOVERNADOR MIGUEL ARRAES DE ALENCAR</t>
  </si>
  <si>
    <t>ESCOLA MUNICIPAL HEINZ HERING</t>
  </si>
  <si>
    <t>ESCOLA MUNICIPAL IMPERATRIZ MARIA LEOPOLDINA</t>
  </si>
  <si>
    <t>ESCOLA MUNICIPAL IRMA ASSUNTA</t>
  </si>
  <si>
    <t>ESCOLA MUNICIPAL JAIME GONCALVES BOLD</t>
  </si>
  <si>
    <t>ESCOLA MUNICIPAL JANDIRA WALDERLEY BASTOS</t>
  </si>
  <si>
    <t>ESCOLA MUNICIPAL JOAO F DE ALBUQUERQUE</t>
  </si>
  <si>
    <t>ESCOLA MUNICIPAL MANOEL ALVES DE MORAIS NAVARRO</t>
  </si>
  <si>
    <t>ESCOLA MUNICIPAL MARCILIO DIAS</t>
  </si>
  <si>
    <t>ESCOLA MUNICIPAL MARIA DAS NEVES</t>
  </si>
  <si>
    <t>ESCOLA MUNICIPAL MARIA JOSE BARBOSA</t>
  </si>
  <si>
    <t>ESCOLA MUNICIPAL MATA DO RONCA</t>
  </si>
  <si>
    <t>ESCOLA MUNICIPAL MINISTRO ETELVINO LINS</t>
  </si>
  <si>
    <t>ESCOLA MUNICIPAL MINISTRO MARCOS FREIRE</t>
  </si>
  <si>
    <t>ESCOLA MUNICIPAL MIRIAM FIRMINO DA VEIGA</t>
  </si>
  <si>
    <t>ESCOLA MUNICIPAL PESCADOR JOSE REIS</t>
  </si>
  <si>
    <t>ESCOLA MUNICIPAL POETISA CECILIA MEIRELES</t>
  </si>
  <si>
    <t>ESCOLA MUNICIPAL PROFESSOR PAULO FREIRE</t>
  </si>
  <si>
    <t>ESCOLA MUNICIPAL PROFESSOR SALVADOR DIMECH</t>
  </si>
  <si>
    <t>ESCOLA MUNICIPAL PROFESSORA ALGA MARINA</t>
  </si>
  <si>
    <t>ESCOLA MUNICIPAL PROFESSORA EDNA MARINHO DA SILVA</t>
  </si>
  <si>
    <t>ESCOLA MUNICIPAL PROFESSORA IRACEMA CASTRO</t>
  </si>
  <si>
    <t>ESCOLA MUNICIPAL PROFª MARGARIDA ALACOQUE ALENCAR SAMPAIO</t>
  </si>
  <si>
    <t>ESCOLA MUNICIPAL RADIALISTA EDVALDO MORAIS</t>
  </si>
  <si>
    <t>ESCOLA MUNICIPAL ROSA AMELIA</t>
  </si>
  <si>
    <t>ESCOLA MUNICIPAL RURAL DE MUMBECA I</t>
  </si>
  <si>
    <t>ESCOLA MUNICIPAL SAO BENTO</t>
  </si>
  <si>
    <t>ESCOLA MUNICIPAL SUSIE REGIS</t>
  </si>
  <si>
    <t>ESCOLA MUNICIPAL ZULIMA PINHO ALVES</t>
  </si>
  <si>
    <t>ESCOLA PROFA TEREZINHA CAMAROTTI</t>
  </si>
  <si>
    <t>GRUPO ESCOLAR FREI GUIDO</t>
  </si>
  <si>
    <t>TELMA PALMEIRA - CEMEDI</t>
  </si>
  <si>
    <t>LEGENDA DE CORES DA PLANILHA</t>
  </si>
  <si>
    <t>Cor</t>
  </si>
  <si>
    <t>Significado / Ação</t>
  </si>
  <si>
    <t>Células de entrada de dados (Preenchimento manual pela Secretaria/Escola)</t>
  </si>
  <si>
    <t>Linhas alternadas de leitura rápida</t>
  </si>
  <si>
    <t>MONITORAMENTO DE FREQUÊNCIA E BUSCA ATIVA ESCOLAR (BAE)</t>
  </si>
  <si>
    <t>SECRETARIA: Secretaria de Educação e Esportes (SEPA)</t>
  </si>
  <si>
    <t>MUNICÍPIO: Paulista / PE</t>
  </si>
  <si>
    <t>CÓDIGO MEC: 26196743</t>
  </si>
  <si>
    <t>CONTATO: (81) 986996609; (81) 999007609</t>
  </si>
  <si>
    <t>E-MAIL: cemediedivandegouveia@edu.paulista.pe.gov.br</t>
  </si>
  <si>
    <t>Estudantes Registrados</t>
  </si>
  <si>
    <t>Monitorados BAE em 2026</t>
  </si>
  <si>
    <t>Faltas por Saúde</t>
  </si>
  <si>
    <t>SECRETARIA</t>
  </si>
  <si>
    <t>MUNICÍPIO</t>
  </si>
  <si>
    <t>ESCOLA</t>
  </si>
  <si>
    <t>ANO/SÉRIE/MÓDULO DO ESTUDANTE</t>
  </si>
  <si>
    <t>ALUNO FOI MONITORADO PELA BAE EM 2025</t>
  </si>
  <si>
    <t>ALUNO FOI MONITORADO PELA BAE EM 2026 (MÊS ANTERIOR AO ATUAL)</t>
  </si>
  <si>
    <t>ESTUDANTE BENEFICIÁRIO DO PBF (BOLSA FAMÍLIA)</t>
  </si>
  <si>
    <t>Mês do Registro</t>
  </si>
  <si>
    <t>Faltas no Mês (Registro do Monitor BAE)</t>
  </si>
  <si>
    <t>MOTIVO DA INFREQUÊNCIA</t>
  </si>
  <si>
    <t>Meio de Contato com Responsável pelo estudante</t>
  </si>
  <si>
    <t>INTERVENÇÃO BAE (registrar a ação)</t>
  </si>
  <si>
    <t>STATUS ATUAL DA SITUAÇÃO DO ALUNO</t>
  </si>
  <si>
    <t>Estudantes não contemplados nas colunas anteriores</t>
  </si>
  <si>
    <t>Secretaria de Educação e Esportes (SEPA)</t>
  </si>
  <si>
    <t>Paulista</t>
  </si>
  <si>
    <t>CÓDIGO MEC: 26157284</t>
  </si>
  <si>
    <t>CONTATO: (81) 995311631; (81) 987700569</t>
  </si>
  <si>
    <t>E-MAIL: creche.mun.tiorob@edu.paulista.pe.gov.br</t>
  </si>
  <si>
    <t>CÓDIGO MEC: 26134553</t>
  </si>
  <si>
    <t>CONTATO: (81) 999481941; (81) 997430977</t>
  </si>
  <si>
    <t>E-MAIL: centro.edu.infnilper@edu.paulista.pe.gov.br</t>
  </si>
  <si>
    <t>CÓDIGO MEC: 26115530</t>
  </si>
  <si>
    <t>CONTATO: (81) 988008319; (81) 997713710</t>
  </si>
  <si>
    <t>E-MAIL: col.mun.josfirdavei@edu.paulista.pe.gov.br</t>
  </si>
  <si>
    <t>CÓDIGO MEC: 26187418</t>
  </si>
  <si>
    <t>CONTATO: (81) 986904761; (81) 999023703</t>
  </si>
  <si>
    <t>E-MAIL: creche.nos.pra@edu.paulista.pe.gov.br</t>
  </si>
  <si>
    <t>CÓDIGO MEC: 26116537</t>
  </si>
  <si>
    <t>CONTATO: (81) 988776187</t>
  </si>
  <si>
    <t>E-MAIL: creche.mun.jesnaz@edu.paulista.pe.gov.br</t>
  </si>
  <si>
    <t>CÓDIGO MEC: 26182580</t>
  </si>
  <si>
    <t>CONTATO: (81) 996521337</t>
  </si>
  <si>
    <t>E-MAIL: rosimerebatista77@gmail.com</t>
  </si>
  <si>
    <t>CÓDIGO MEC: 26116790</t>
  </si>
  <si>
    <t>CONTATO: (81) 997227759; (81) 996740178</t>
  </si>
  <si>
    <t>E-MAIL: conego.cos.car@edu.paulista.pe.gov.br</t>
  </si>
  <si>
    <t>CÓDIGO MEC: 26116901</t>
  </si>
  <si>
    <t>CONTATO: (81) 988224695; (81) 997908748</t>
  </si>
  <si>
    <t>E-MAIL: pres.tan.almnev@edu.paulista.pe.gov.br</t>
  </si>
  <si>
    <t>CÓDIGO MEC: 26116715</t>
  </si>
  <si>
    <t>CONTATO: (81) 997773732</t>
  </si>
  <si>
    <t>E-MAIL: manoel.gon.dasil@edu.paulista.pe.gov.br</t>
  </si>
  <si>
    <t>CÓDIGO MEC: 26116057</t>
  </si>
  <si>
    <t>CONTATO: (81) 996534892</t>
  </si>
  <si>
    <t>E-MAIL: brigadeiro.ald.pinalv@edu.paulista.pe.gov.br</t>
  </si>
  <si>
    <t>CÓDIGO MEC: 26116162</t>
  </si>
  <si>
    <t>CONTATO: (81) 984565594; (81) 985702432</t>
  </si>
  <si>
    <t>E-MAIL: maria.luz.pesand@edu.paulista.pe.gov.br</t>
  </si>
  <si>
    <t>CÓDIGO MEC: 26116510</t>
  </si>
  <si>
    <t>CONTATO: (81) 985430499</t>
  </si>
  <si>
    <t>E-MAIL: marilia.rus.pinalv@edu.paulista.pe.gov.br</t>
  </si>
  <si>
    <t>CÓDIGO MEC: 26136549</t>
  </si>
  <si>
    <t>CONTATO: (81) 34372256</t>
  </si>
  <si>
    <t>E-MAIL: escmariaconceicaodapaz@gmail.com</t>
  </si>
  <si>
    <t>CÓDIGO MEC: 26116197</t>
  </si>
  <si>
    <t>CONTATO: (81) 988191025; (81) 34370962</t>
  </si>
  <si>
    <t>E-MAIL: prof.rub.limcav@edu.paulista.pe.gov.br</t>
  </si>
  <si>
    <t>CÓDIGO MEC: 26116766</t>
  </si>
  <si>
    <t>CONTATO: (81) 994588622</t>
  </si>
  <si>
    <t>E-MAIL: abelardo.sal.siq@edu.paulista.pe.gov.br</t>
  </si>
  <si>
    <t>CÓDIGO MEC: 26116740</t>
  </si>
  <si>
    <t>CONTATO: (81) 989557270</t>
  </si>
  <si>
    <t>E-MAIL: agamenon.mag@edu.paulista.pe.gov.br</t>
  </si>
  <si>
    <t>CÓDIGO MEC: 26115700</t>
  </si>
  <si>
    <t>CONTATO: (81) 995312617; (81) 999633102</t>
  </si>
  <si>
    <t>E-MAIL: amaro.ale@edu.paulista.pe.gov.br</t>
  </si>
  <si>
    <t>CÓDIGO MEC: 26116243</t>
  </si>
  <si>
    <t>CONTATO: (81) 999202425</t>
  </si>
  <si>
    <t>E-MAIL: comendador.art.lun@edu.paulista.pe.gov.br</t>
  </si>
  <si>
    <t>CÓDIGO MEC: 26188678</t>
  </si>
  <si>
    <t>CONTATO: (81) 987392313; (81) 995402074</t>
  </si>
  <si>
    <t>E-MAIL: joao.per.olifil@edu.paulista.pe.gov.br</t>
  </si>
  <si>
    <t>CÓDIGO MEC: 26188686</t>
  </si>
  <si>
    <t>CONTATO: (81) 998692544; (81) 987691178</t>
  </si>
  <si>
    <t>E-MAIL: coronel.jos.joalimsil@edu.paulista.pe.gov.br</t>
  </si>
  <si>
    <t>CÓDIGO MEC: 26188694</t>
  </si>
  <si>
    <t>CONTATO: (81) 987464221; (81) 992396030</t>
  </si>
  <si>
    <t>E-MAIL: dr.ger.pinalv@edu.paulista.pe.gov.br</t>
  </si>
  <si>
    <t>CÓDIGO MEC: 26116286</t>
  </si>
  <si>
    <t>CONTATO: (81) 34375379</t>
  </si>
  <si>
    <t>E-MAIL: dr.car.albdasilalv@edu.paulista.pe.gov.br</t>
  </si>
  <si>
    <t>CÓDIGO MEC: 26194139</t>
  </si>
  <si>
    <t>CONTATO: (81) 20140488; (81) 993997919</t>
  </si>
  <si>
    <t>E-MAIL: esc.nelsonbandeira@edu.paulista.pe.gov.br</t>
  </si>
  <si>
    <t>CÓDIGO MEC: 26116804</t>
  </si>
  <si>
    <t>CONTATO: (81) 987178376; (81) 997536435</t>
  </si>
  <si>
    <t>E-MAIL: dr.gel.amo@edu.paulista.pe.gov.br</t>
  </si>
  <si>
    <t>CÓDIGO MEC: 26116812</t>
  </si>
  <si>
    <t>CONTATO: (81) 987371639</t>
  </si>
  <si>
    <t>E-MAIL: edison.gomes@edu.paulista.pe.gov.br</t>
  </si>
  <si>
    <t>CÓDIGO MEC: 26188708</t>
  </si>
  <si>
    <t>CONTATO: (81) 984399114; (81) 983224034</t>
  </si>
  <si>
    <t>E-MAIL: escritor.ari.vilsua@edu.paulista.pe.gov.br</t>
  </si>
  <si>
    <t>CÓDIGO MEC: 26188660</t>
  </si>
  <si>
    <t>CONTATO: (81) 987349458</t>
  </si>
  <si>
    <t>E-MAIL: escritor.car.druand@edu.paulista.pe.gov.br</t>
  </si>
  <si>
    <t>CÓDIGO MEC: 26116081</t>
  </si>
  <si>
    <t>CONTATO: (81) 986698041</t>
  </si>
  <si>
    <t>E-MAIL: frederico.lun@edu.paulista.pe.gov.br</t>
  </si>
  <si>
    <t>CÓDIGO MEC: 26170230</t>
  </si>
  <si>
    <t>CONTATO: (81) 34363331</t>
  </si>
  <si>
    <t>E-MAIL: gov.car.wilcam@edu.paulista.pe.gov.br</t>
  </si>
  <si>
    <t>CÓDIGO MEC: 26179172</t>
  </si>
  <si>
    <t>CONTATO: (81) 992775394; (81) 997773732</t>
  </si>
  <si>
    <t>E-MAIL: gov.mig.arrale@edu.paulista.pe.gov.br</t>
  </si>
  <si>
    <t>CÓDIGO MEC: 26116820</t>
  </si>
  <si>
    <t>CONTATO: (81) 987718701</t>
  </si>
  <si>
    <t>E-MAIL: heinz.her@edu.paulista.pe.gov.br</t>
  </si>
  <si>
    <t>CÓDIGO MEC: 26188600</t>
  </si>
  <si>
    <t>CONTATO: (81) 995310984</t>
  </si>
  <si>
    <t>E-MAIL: imperatriz.mar.leo@edu.paulista.pe.gov.br</t>
  </si>
  <si>
    <t>CÓDIGO MEC: 26116839</t>
  </si>
  <si>
    <t>CONTATO: (81) 983631723</t>
  </si>
  <si>
    <t>E-MAIL: irma.ass@edu.paulista.pe.gov.br</t>
  </si>
  <si>
    <t>CÓDIGO MEC: 26116847</t>
  </si>
  <si>
    <t>CONTATO: (81) 995310566; (81) 33727008</t>
  </si>
  <si>
    <t>E-MAIL: jaime.gon.bol@edu.paulista.pe.gov.br</t>
  </si>
  <si>
    <t>CÓDIGO MEC: 26116529</t>
  </si>
  <si>
    <t>CONTATO: (81) 995313267</t>
  </si>
  <si>
    <t>E-MAIL: esc.jandirawanderley@gmail.com</t>
  </si>
  <si>
    <t>CÓDIGO MEC: 26116251</t>
  </si>
  <si>
    <t>E-MAIL: joao.fon.alb@edu.paulista.pe.gov.br</t>
  </si>
  <si>
    <t>CÓDIGO MEC: 26188716</t>
  </si>
  <si>
    <t>CONTATO: (81) 996326673</t>
  </si>
  <si>
    <t>E-MAIL: manoel.alv.mornav@edu.paulista.pe.gov.br</t>
  </si>
  <si>
    <t>CÓDIGO MEC: 26116260</t>
  </si>
  <si>
    <t>CONTATO: (81) 992765131; (81) 985667049</t>
  </si>
  <si>
    <t>E-MAIL: marcilio.dia@edu.paulista.pe.gov.br</t>
  </si>
  <si>
    <t>CÓDIGO MEC: 26116154</t>
  </si>
  <si>
    <t>CONTATO: (81) 984742415; (81) 984522292</t>
  </si>
  <si>
    <t>E-MAIL: maria.das.nev@edu.paulista.pe.gov.br</t>
  </si>
  <si>
    <t>CÓDIGO MEC: 26193841</t>
  </si>
  <si>
    <t>CONTATO: (81) 993987270</t>
  </si>
  <si>
    <t>E-MAIL: esc.mariajbarbosa@edu.paulista.pe.gov.br</t>
  </si>
  <si>
    <t>CÓDIGO MEC: 26117215</t>
  </si>
  <si>
    <t>CONTATO: (81) 986054384; (81) 995310483</t>
  </si>
  <si>
    <t>E-MAIL: rural.mat.doron@edu.paulista.pe.gov.br</t>
  </si>
  <si>
    <t>CÓDIGO MEC: 26116880</t>
  </si>
  <si>
    <t>CONTATO: (81) 996137937; (81) 995312700</t>
  </si>
  <si>
    <t>E-MAIL: esc.etelvino@gmail.com</t>
  </si>
  <si>
    <t>CÓDIGO MEC: 26116120</t>
  </si>
  <si>
    <t>CONTATO: (81) 87255047; (81) 34375783</t>
  </si>
  <si>
    <t>E-MAIL: esc.ministromarcos@gmail.com</t>
  </si>
  <si>
    <t>CÓDIGO MEC: 26196735</t>
  </si>
  <si>
    <t>CONTATO: (81) 992640344</t>
  </si>
  <si>
    <t>E-MAIL: cemedi.miriamfveiga@edu.paulista.pe.gov.br</t>
  </si>
  <si>
    <t>CÓDIGO MEC: 26188724</t>
  </si>
  <si>
    <t>CONTATO: (81) 997239955; (81) 997830525</t>
  </si>
  <si>
    <t>E-MAIL: empescadorjosereis@gmail.com</t>
  </si>
  <si>
    <t>CÓDIGO MEC: 26188732</t>
  </si>
  <si>
    <t>CONTATO: (81) 983587885; (81) 995496344</t>
  </si>
  <si>
    <t>E-MAIL: poetisa.cec.mei@edu.paulista.pe.gov.br</t>
  </si>
  <si>
    <t>CÓDIGO MEC: 26182564</t>
  </si>
  <si>
    <t>CONTATO: (81) 987039854</t>
  </si>
  <si>
    <t>E-MAIL: prof.pau.fre@edu.paulista.pe.gov.br</t>
  </si>
  <si>
    <t>CÓDIGO MEC: 26182556</t>
  </si>
  <si>
    <t>E-MAIL: prof.sal.dim@edu.paulista.pe.gov.br</t>
  </si>
  <si>
    <t>CÓDIGO MEC: 26116910</t>
  </si>
  <si>
    <t>CONTATO: (81) 981786282</t>
  </si>
  <si>
    <t>E-MAIL: prof.alg.mar@edu.paulista.pe.gov.br</t>
  </si>
  <si>
    <t>CÓDIGO MEC: 26188759</t>
  </si>
  <si>
    <t>CONTATO: (81) 99748-9697</t>
  </si>
  <si>
    <t>E-MAIL: edna.marinho@edu.paulista.pe.gov.br</t>
  </si>
  <si>
    <t>CÓDIGO MEC: 26188589</t>
  </si>
  <si>
    <t>CONTATO: (81) 987677554</t>
  </si>
  <si>
    <t>E-MAIL: esc.iracemacastropaulista@gmail.com</t>
  </si>
  <si>
    <t>CÓDIGO MEC: 26184168</t>
  </si>
  <si>
    <t>CONTATO: (81) 995064746; (81) 996946440</t>
  </si>
  <si>
    <t>E-MAIL: margarida.ala.alesam@edu.paulista.pe.gov.br</t>
  </si>
  <si>
    <t>CÓDIGO MEC: 26188546</t>
  </si>
  <si>
    <t>CONTATO: (81) 999942677; (81) 988167122</t>
  </si>
  <si>
    <t>E-MAIL: radialista.edv.mor@edu.paulista.pe.gov.br</t>
  </si>
  <si>
    <t>CÓDIGO MEC: 26117509</t>
  </si>
  <si>
    <t>CONTATO: (81) 987310344</t>
  </si>
  <si>
    <t>E-MAIL: rosa.ame@edu.paulista.pe.gov.br</t>
  </si>
  <si>
    <t>CÓDIGO MEC: 26117339</t>
  </si>
  <si>
    <t>CONTATO: (81) 995141088; (81) 992983000</t>
  </si>
  <si>
    <t>E-MAIL: esc.ruralmumbeca1@gmail.com</t>
  </si>
  <si>
    <t>CÓDIGO MEC: 26117380</t>
  </si>
  <si>
    <t>CONTATO: (81) 979115275</t>
  </si>
  <si>
    <t>E-MAIL: sao.ben@edu.paulista.pe.gov.br</t>
  </si>
  <si>
    <t>CÓDIGO MEC: 26116618</t>
  </si>
  <si>
    <t>CONTATO: (81) 995313082; (81) 34379884</t>
  </si>
  <si>
    <t>E-MAIL: esc.susieregis@gmail.com</t>
  </si>
  <si>
    <t>CÓDIGO MEC: 26116235</t>
  </si>
  <si>
    <t>CONTATO: (81) 996640595; (81) 995312169</t>
  </si>
  <si>
    <t>E-MAIL: zulima.pin.alv@edu.paulista.pe.gov.br</t>
  </si>
  <si>
    <t>CÓDIGO MEC: 26116952</t>
  </si>
  <si>
    <t>CONTATO: (81) 997239756</t>
  </si>
  <si>
    <t>E-MAIL: prof.ter.cam@edu.paulista.gov.br</t>
  </si>
  <si>
    <t>CÓDIGO MEC: 26117053</t>
  </si>
  <si>
    <t>CONTATO: (81) 34370597</t>
  </si>
  <si>
    <t>E-MAIL: grupo.esc.munfregui@edu.paulista.pe.gov.br</t>
  </si>
  <si>
    <t>CÓDIGO MEC: 26190486</t>
  </si>
  <si>
    <t>CONTATO: (81) 995311533; (81) 935311533</t>
  </si>
  <si>
    <t>E-MAIL: prof.tel.pal@edu.paulista.pe.gov.br</t>
  </si>
  <si>
    <t>NOME DO ESTUDANTE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</si>
</sst>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u/>
      <sz val="11"/>
      <color rgb="FF1F4E79"/>
      <name val="Calibri"/>
    </font>
    <font>
      <sz val="11"/>
      <color rgb="FF000000"/>
      <name val="Calibri"/>
    </font>
    <font>
      <i/>
      <sz val="9"/>
      <color rgb="FF55555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4D40"/>
        <bgColor rgb="FF004D40"/>
      </patternFill>
    </fill>
    <fill>
      <patternFill patternType="solid">
        <fgColor rgb="FFE0F2F1"/>
        <bgColor rgb="FFE0F2F1"/>
      </patternFill>
    </fill>
    <fill>
      <patternFill patternType="solid">
        <fgColor rgb="FF00796B"/>
        <bgColor rgb="FF00796B"/>
      </patternFill>
    </fill>
    <fill>
      <patternFill patternType="solid">
        <fgColor rgb="FFF4FBFB"/>
        <bgColor rgb="FFF4FB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3" borderId="1" xfId="0" applyFill="1" applyBorder="1"/>
    <xf numFmtId="0" fontId="6" fillId="0" borderId="1" xfId="0" applyFont="1" applyBorder="1"/>
    <xf numFmtId="0" fontId="0" fillId="5" borderId="1" xfId="0" applyFill="1" applyBorder="1"/>
    <xf numFmtId="0" fontId="5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5"/>
  <sheetViews>
    <sheetView showGridLines="0" tabSelected="1" workbookViewId="0">
      <pane ySplit="7" topLeftCell="A8" activePane="bottomLeft" state="frozen"/>
      <selection activeCell="F1" sqref="F1:F1048576"/>
      <selection pane="bottomLeft" activeCell="B15" sqref="B15"/>
    </sheetView>
  </sheetViews>
  <sheetFormatPr defaultRowHeight="15" x14ac:dyDescent="0.25"/>
  <cols>
    <col min="1" max="1" width="32" customWidth="1"/>
    <col min="2" max="2" width="77" customWidth="1"/>
    <col min="3" max="3" width="34" customWidth="1"/>
    <col min="4" max="4" width="48" customWidth="1"/>
    <col min="5" max="5" width="20" customWidth="1"/>
  </cols>
  <sheetData>
    <row r="2" spans="1:5" ht="35.1" customHeight="1" x14ac:dyDescent="0.25">
      <c r="A2" s="19" t="s">
        <v>0</v>
      </c>
      <c r="B2" s="20"/>
      <c r="C2" s="20"/>
      <c r="D2" s="20"/>
      <c r="E2" s="20"/>
    </row>
    <row r="3" spans="1:5" ht="20.100000000000001" customHeight="1" x14ac:dyDescent="0.25">
      <c r="A3" s="21" t="s">
        <v>1</v>
      </c>
      <c r="B3" s="20"/>
      <c r="C3" s="20"/>
      <c r="D3" s="20"/>
      <c r="E3" s="20"/>
    </row>
    <row r="5" spans="1:5" x14ac:dyDescent="0.25">
      <c r="A5" s="1" t="s">
        <v>2</v>
      </c>
      <c r="B5" s="2">
        <f>COUNTA(A8:A69)</f>
        <v>62</v>
      </c>
    </row>
    <row r="7" spans="1:5" ht="27.95" customHeight="1" x14ac:dyDescent="0.2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</row>
    <row r="8" spans="1:5" ht="21.95" customHeight="1" x14ac:dyDescent="0.25">
      <c r="A8" s="4">
        <v>26196743</v>
      </c>
      <c r="B8" s="5" t="s">
        <v>8</v>
      </c>
      <c r="C8" s="6"/>
      <c r="D8" s="5"/>
      <c r="E8" s="7" t="str">
        <f>HYPERLINK("#'26196743 - EDIVANDE GOUVEIA D'!A1", "Acessar Aba →")</f>
        <v>Acessar Aba →</v>
      </c>
    </row>
    <row r="9" spans="1:5" ht="21.95" customHeight="1" x14ac:dyDescent="0.25">
      <c r="A9" s="8">
        <v>26157284</v>
      </c>
      <c r="B9" s="9" t="s">
        <v>9</v>
      </c>
      <c r="C9" s="10"/>
      <c r="D9" s="9"/>
      <c r="E9" s="11" t="str">
        <f>HYPERLINK("#'26157284 - TIO ROBERTO'!A1", "Acessar Aba →")</f>
        <v>Acessar Aba →</v>
      </c>
    </row>
    <row r="10" spans="1:5" ht="21.95" customHeight="1" x14ac:dyDescent="0.25">
      <c r="A10" s="4">
        <v>26134553</v>
      </c>
      <c r="B10" s="5" t="s">
        <v>10</v>
      </c>
      <c r="C10" s="6"/>
      <c r="D10" s="5"/>
      <c r="E10" s="7" t="str">
        <f>HYPERLINK("#'26134553 - NILO PEREIRA'!A1", "Acessar Aba →")</f>
        <v>Acessar Aba →</v>
      </c>
    </row>
    <row r="11" spans="1:5" ht="21.95" customHeight="1" x14ac:dyDescent="0.25">
      <c r="A11" s="8">
        <v>26115530</v>
      </c>
      <c r="B11" s="9" t="s">
        <v>11</v>
      </c>
      <c r="C11" s="10"/>
      <c r="D11" s="9"/>
      <c r="E11" s="11" t="str">
        <f>HYPERLINK("#'26115530 - JOSE FIRMINO DA VE'!A1", "Acessar Aba →")</f>
        <v>Acessar Aba →</v>
      </c>
    </row>
    <row r="12" spans="1:5" ht="21.95" customHeight="1" x14ac:dyDescent="0.25">
      <c r="A12" s="4">
        <v>26187418</v>
      </c>
      <c r="B12" s="5" t="s">
        <v>12</v>
      </c>
      <c r="C12" s="6"/>
      <c r="D12" s="5"/>
      <c r="E12" s="7" t="str">
        <f>HYPERLINK("#'26187418 - NOSSA PRATA'!A1", "Acessar Aba →")</f>
        <v>Acessar Aba →</v>
      </c>
    </row>
    <row r="13" spans="1:5" ht="21.95" customHeight="1" x14ac:dyDescent="0.25">
      <c r="A13" s="8">
        <v>26116537</v>
      </c>
      <c r="B13" s="9" t="s">
        <v>13</v>
      </c>
      <c r="C13" s="10"/>
      <c r="D13" s="9"/>
      <c r="E13" s="11" t="str">
        <f>HYPERLINK("#'26116537 - JESUS DE NAZARE'!A1", "Acessar Aba →")</f>
        <v>Acessar Aba →</v>
      </c>
    </row>
    <row r="14" spans="1:5" ht="21.95" customHeight="1" x14ac:dyDescent="0.25">
      <c r="A14" s="4">
        <v>26182580</v>
      </c>
      <c r="B14" s="5" t="s">
        <v>14</v>
      </c>
      <c r="C14" s="6"/>
      <c r="D14" s="5"/>
      <c r="E14" s="7" t="str">
        <f>HYPERLINK("#'26182580 - MARIA ANUNCIADA DE'!A1", "Acessar Aba →")</f>
        <v>Acessar Aba →</v>
      </c>
    </row>
    <row r="15" spans="1:5" ht="21.95" customHeight="1" x14ac:dyDescent="0.25">
      <c r="A15" s="8">
        <v>26116790</v>
      </c>
      <c r="B15" s="9" t="s">
        <v>15</v>
      </c>
      <c r="C15" s="10"/>
      <c r="D15" s="9"/>
      <c r="E15" s="11" t="str">
        <f>HYPERLINK("#'26116790 - CONEGO COSTA CARVA'!A1", "Acessar Aba →")</f>
        <v>Acessar Aba →</v>
      </c>
    </row>
    <row r="16" spans="1:5" ht="21.95" customHeight="1" x14ac:dyDescent="0.25">
      <c r="A16" s="4">
        <v>26116901</v>
      </c>
      <c r="B16" s="5" t="s">
        <v>16</v>
      </c>
      <c r="C16" s="6"/>
      <c r="D16" s="5"/>
      <c r="E16" s="7" t="str">
        <f>HYPERLINK("#'26116901 - PRES TANCREDO DE A'!A1", "Acessar Aba →")</f>
        <v>Acessar Aba →</v>
      </c>
    </row>
    <row r="17" spans="1:5" ht="21.95" customHeight="1" x14ac:dyDescent="0.25">
      <c r="A17" s="8">
        <v>26116715</v>
      </c>
      <c r="B17" s="9" t="s">
        <v>17</v>
      </c>
      <c r="C17" s="10"/>
      <c r="D17" s="9"/>
      <c r="E17" s="11" t="str">
        <f>HYPERLINK("#'26116715 - ESCOLA MANOEL GONC'!A1", "Acessar Aba →")</f>
        <v>Acessar Aba →</v>
      </c>
    </row>
    <row r="18" spans="1:5" ht="21.95" customHeight="1" x14ac:dyDescent="0.25">
      <c r="A18" s="4">
        <v>26116057</v>
      </c>
      <c r="B18" s="5" t="s">
        <v>18</v>
      </c>
      <c r="C18" s="6"/>
      <c r="D18" s="5"/>
      <c r="E18" s="7" t="str">
        <f>HYPERLINK("#'26116057 - BRIGADEIRO ALDO PI'!A1", "Acessar Aba →")</f>
        <v>Acessar Aba →</v>
      </c>
    </row>
    <row r="19" spans="1:5" ht="21.95" customHeight="1" x14ac:dyDescent="0.25">
      <c r="A19" s="8">
        <v>26116162</v>
      </c>
      <c r="B19" s="9" t="s">
        <v>19</v>
      </c>
      <c r="C19" s="10"/>
      <c r="D19" s="9"/>
      <c r="E19" s="11" t="str">
        <f>HYPERLINK("#'26116162 - MARIA LUZIA PESSOA'!A1", "Acessar Aba →")</f>
        <v>Acessar Aba →</v>
      </c>
    </row>
    <row r="20" spans="1:5" ht="21.95" customHeight="1" x14ac:dyDescent="0.25">
      <c r="A20" s="4">
        <v>26116510</v>
      </c>
      <c r="B20" s="5" t="s">
        <v>20</v>
      </c>
      <c r="C20" s="6"/>
      <c r="D20" s="5"/>
      <c r="E20" s="7" t="str">
        <f>HYPERLINK("#'26116510 - MARILIA RUSSEL DE'!A1", "Acessar Aba →")</f>
        <v>Acessar Aba →</v>
      </c>
    </row>
    <row r="21" spans="1:5" ht="21.95" customHeight="1" x14ac:dyDescent="0.25">
      <c r="A21" s="8">
        <v>26136549</v>
      </c>
      <c r="B21" s="9" t="s">
        <v>21</v>
      </c>
      <c r="C21" s="10"/>
      <c r="D21" s="9"/>
      <c r="E21" s="11" t="str">
        <f>HYPERLINK("#'26136549 - PROF MARIA CONCEIC'!A1", "Acessar Aba →")</f>
        <v>Acessar Aba →</v>
      </c>
    </row>
    <row r="22" spans="1:5" ht="21.95" customHeight="1" x14ac:dyDescent="0.25">
      <c r="A22" s="4">
        <v>26116197</v>
      </c>
      <c r="B22" s="5" t="s">
        <v>22</v>
      </c>
      <c r="C22" s="6"/>
      <c r="D22" s="5"/>
      <c r="E22" s="7" t="str">
        <f>HYPERLINK("#'26116197 - PROF RUBENITA DE L'!A1", "Acessar Aba →")</f>
        <v>Acessar Aba →</v>
      </c>
    </row>
    <row r="23" spans="1:5" ht="21.95" customHeight="1" x14ac:dyDescent="0.25">
      <c r="A23" s="8">
        <v>26116766</v>
      </c>
      <c r="B23" s="9" t="s">
        <v>23</v>
      </c>
      <c r="C23" s="10"/>
      <c r="D23" s="9"/>
      <c r="E23" s="11" t="str">
        <f>HYPERLINK("#'26116766 - ABELARDO SALES DE'!A1", "Acessar Aba →")</f>
        <v>Acessar Aba →</v>
      </c>
    </row>
    <row r="24" spans="1:5" ht="21.95" customHeight="1" x14ac:dyDescent="0.25">
      <c r="A24" s="4">
        <v>26116740</v>
      </c>
      <c r="B24" s="5" t="s">
        <v>24</v>
      </c>
      <c r="C24" s="6"/>
      <c r="D24" s="5"/>
      <c r="E24" s="7" t="str">
        <f>HYPERLINK("#'26116740 - AGAMENON MAGALHAES'!A1", "Acessar Aba →")</f>
        <v>Acessar Aba →</v>
      </c>
    </row>
    <row r="25" spans="1:5" ht="21.95" customHeight="1" x14ac:dyDescent="0.25">
      <c r="A25" s="8">
        <v>26115700</v>
      </c>
      <c r="B25" s="9" t="s">
        <v>25</v>
      </c>
      <c r="C25" s="10"/>
      <c r="D25" s="9"/>
      <c r="E25" s="11" t="str">
        <f>HYPERLINK("#'26115700 - AMARO ALEXANDRINO'!A1", "Acessar Aba →")</f>
        <v>Acessar Aba →</v>
      </c>
    </row>
    <row r="26" spans="1:5" ht="21.95" customHeight="1" x14ac:dyDescent="0.25">
      <c r="A26" s="4">
        <v>26116243</v>
      </c>
      <c r="B26" s="5" t="s">
        <v>26</v>
      </c>
      <c r="C26" s="6"/>
      <c r="D26" s="5"/>
      <c r="E26" s="7" t="str">
        <f>HYPERLINK("#'26116243 - COMENDADOR ARTHUR'!A1", "Acessar Aba →")</f>
        <v>Acessar Aba →</v>
      </c>
    </row>
    <row r="27" spans="1:5" ht="21.95" customHeight="1" x14ac:dyDescent="0.25">
      <c r="A27" s="8">
        <v>26188678</v>
      </c>
      <c r="B27" s="9" t="s">
        <v>27</v>
      </c>
      <c r="C27" s="10"/>
      <c r="D27" s="9"/>
      <c r="E27" s="11" t="str">
        <f>HYPERLINK("#'26188678 - CORONEL JOAO PEREI'!A1", "Acessar Aba →")</f>
        <v>Acessar Aba →</v>
      </c>
    </row>
    <row r="28" spans="1:5" ht="21.95" customHeight="1" x14ac:dyDescent="0.25">
      <c r="A28" s="4">
        <v>26188686</v>
      </c>
      <c r="B28" s="5" t="s">
        <v>28</v>
      </c>
      <c r="C28" s="6"/>
      <c r="D28" s="5"/>
      <c r="E28" s="7" t="str">
        <f>HYPERLINK("#'26188686 - CORONEL JOSE JOAQU'!A1", "Acessar Aba →")</f>
        <v>Acessar Aba →</v>
      </c>
    </row>
    <row r="29" spans="1:5" ht="21.95" customHeight="1" x14ac:dyDescent="0.25">
      <c r="A29" s="8">
        <v>26188694</v>
      </c>
      <c r="B29" s="9" t="s">
        <v>29</v>
      </c>
      <c r="C29" s="10"/>
      <c r="D29" s="9"/>
      <c r="E29" s="11" t="str">
        <f>HYPERLINK("#'26188694 - DOUTOR GERALDO PIN'!A1", "Acessar Aba →")</f>
        <v>Acessar Aba →</v>
      </c>
    </row>
    <row r="30" spans="1:5" ht="21.95" customHeight="1" x14ac:dyDescent="0.25">
      <c r="A30" s="4">
        <v>26116286</v>
      </c>
      <c r="B30" s="5" t="s">
        <v>30</v>
      </c>
      <c r="C30" s="6"/>
      <c r="D30" s="5"/>
      <c r="E30" s="7" t="str">
        <f>HYPERLINK("#'26116286 - CARLOS ALVES'!A1", "Acessar Aba →")</f>
        <v>Acessar Aba →</v>
      </c>
    </row>
    <row r="31" spans="1:5" ht="21.95" customHeight="1" x14ac:dyDescent="0.25">
      <c r="A31" s="8">
        <v>26194139</v>
      </c>
      <c r="B31" s="9" t="s">
        <v>31</v>
      </c>
      <c r="C31" s="10"/>
      <c r="D31" s="9"/>
      <c r="E31" s="11" t="str">
        <f>HYPERLINK("#'26194139 - NELSON BANDEIRA DE'!A1", "Acessar Aba →")</f>
        <v>Acessar Aba →</v>
      </c>
    </row>
    <row r="32" spans="1:5" ht="21.95" customHeight="1" x14ac:dyDescent="0.25">
      <c r="A32" s="4">
        <v>26116804</v>
      </c>
      <c r="B32" s="5" t="s">
        <v>32</v>
      </c>
      <c r="C32" s="6"/>
      <c r="D32" s="5"/>
      <c r="E32" s="7" t="str">
        <f>HYPERLINK("#'26116804 - GELDA AMORIM'!A1", "Acessar Aba →")</f>
        <v>Acessar Aba →</v>
      </c>
    </row>
    <row r="33" spans="1:5" ht="21.95" customHeight="1" x14ac:dyDescent="0.25">
      <c r="A33" s="8">
        <v>26116812</v>
      </c>
      <c r="B33" s="9" t="s">
        <v>33</v>
      </c>
      <c r="C33" s="10"/>
      <c r="D33" s="9"/>
      <c r="E33" s="11" t="str">
        <f>HYPERLINK("#'26116812 - EDISON GOMES DO RE'!A1", "Acessar Aba →")</f>
        <v>Acessar Aba →</v>
      </c>
    </row>
    <row r="34" spans="1:5" ht="21.95" customHeight="1" x14ac:dyDescent="0.25">
      <c r="A34" s="4">
        <v>26188708</v>
      </c>
      <c r="B34" s="5" t="s">
        <v>34</v>
      </c>
      <c r="C34" s="6"/>
      <c r="D34" s="5"/>
      <c r="E34" s="7" t="str">
        <f>HYPERLINK("#'26188708 - ESCRITOR ARIANO VI'!A1", "Acessar Aba →")</f>
        <v>Acessar Aba →</v>
      </c>
    </row>
    <row r="35" spans="1:5" ht="21.95" customHeight="1" x14ac:dyDescent="0.25">
      <c r="A35" s="8">
        <v>26188660</v>
      </c>
      <c r="B35" s="9" t="s">
        <v>35</v>
      </c>
      <c r="C35" s="10"/>
      <c r="D35" s="9"/>
      <c r="E35" s="11" t="str">
        <f>HYPERLINK("#'26188660 - ESCRITOR CARLOS DR'!A1", "Acessar Aba →")</f>
        <v>Acessar Aba →</v>
      </c>
    </row>
    <row r="36" spans="1:5" ht="21.95" customHeight="1" x14ac:dyDescent="0.25">
      <c r="A36" s="4">
        <v>26116081</v>
      </c>
      <c r="B36" s="5" t="s">
        <v>36</v>
      </c>
      <c r="C36" s="6"/>
      <c r="D36" s="5"/>
      <c r="E36" s="7" t="str">
        <f>HYPERLINK("#'26116081 - FREDERICO LUNDGREN'!A1", "Acessar Aba →")</f>
        <v>Acessar Aba →</v>
      </c>
    </row>
    <row r="37" spans="1:5" ht="21.95" customHeight="1" x14ac:dyDescent="0.25">
      <c r="A37" s="8">
        <v>26170230</v>
      </c>
      <c r="B37" s="9" t="s">
        <v>37</v>
      </c>
      <c r="C37" s="10"/>
      <c r="D37" s="9"/>
      <c r="E37" s="11" t="str">
        <f>HYPERLINK("#'26170230 - GOVERNADOR CARLOS'!A1", "Acessar Aba →")</f>
        <v>Acessar Aba →</v>
      </c>
    </row>
    <row r="38" spans="1:5" ht="21.95" customHeight="1" x14ac:dyDescent="0.25">
      <c r="A38" s="4">
        <v>26179172</v>
      </c>
      <c r="B38" s="5" t="s">
        <v>38</v>
      </c>
      <c r="C38" s="6"/>
      <c r="D38" s="5"/>
      <c r="E38" s="7" t="str">
        <f>HYPERLINK("#'26179172 - GOVERNADOR MIGUEL'!A1", "Acessar Aba →")</f>
        <v>Acessar Aba →</v>
      </c>
    </row>
    <row r="39" spans="1:5" ht="21.95" customHeight="1" x14ac:dyDescent="0.25">
      <c r="A39" s="8">
        <v>26116820</v>
      </c>
      <c r="B39" s="9" t="s">
        <v>39</v>
      </c>
      <c r="C39" s="10"/>
      <c r="D39" s="9"/>
      <c r="E39" s="11" t="str">
        <f>HYPERLINK("#'26116820 - HEINZ HERING'!A1", "Acessar Aba →")</f>
        <v>Acessar Aba →</v>
      </c>
    </row>
    <row r="40" spans="1:5" ht="21.95" customHeight="1" x14ac:dyDescent="0.25">
      <c r="A40" s="4">
        <v>26188600</v>
      </c>
      <c r="B40" s="5" t="s">
        <v>40</v>
      </c>
      <c r="C40" s="6"/>
      <c r="D40" s="5"/>
      <c r="E40" s="7" t="str">
        <f>HYPERLINK("#'26188600 - IMPERATRIZ MARIA L'!A1", "Acessar Aba →")</f>
        <v>Acessar Aba →</v>
      </c>
    </row>
    <row r="41" spans="1:5" ht="21.95" customHeight="1" x14ac:dyDescent="0.25">
      <c r="A41" s="8">
        <v>26116839</v>
      </c>
      <c r="B41" s="9" t="s">
        <v>41</v>
      </c>
      <c r="C41" s="10"/>
      <c r="D41" s="9"/>
      <c r="E41" s="11" t="str">
        <f>HYPERLINK("#'26116839 - IRMA ASSUNTA'!A1", "Acessar Aba →")</f>
        <v>Acessar Aba →</v>
      </c>
    </row>
    <row r="42" spans="1:5" ht="21.95" customHeight="1" x14ac:dyDescent="0.25">
      <c r="A42" s="4">
        <v>26116847</v>
      </c>
      <c r="B42" s="5" t="s">
        <v>42</v>
      </c>
      <c r="C42" s="6"/>
      <c r="D42" s="5"/>
      <c r="E42" s="7" t="str">
        <f>HYPERLINK("#'26116847 - JAIME GONCALVES BO'!A1", "Acessar Aba →")</f>
        <v>Acessar Aba →</v>
      </c>
    </row>
    <row r="43" spans="1:5" ht="21.95" customHeight="1" x14ac:dyDescent="0.25">
      <c r="A43" s="8">
        <v>26116529</v>
      </c>
      <c r="B43" s="9" t="s">
        <v>43</v>
      </c>
      <c r="C43" s="10"/>
      <c r="D43" s="9"/>
      <c r="E43" s="11" t="str">
        <f>HYPERLINK("#'26116529 - JANDIRA WALDERLEY'!A1", "Acessar Aba →")</f>
        <v>Acessar Aba →</v>
      </c>
    </row>
    <row r="44" spans="1:5" ht="21.95" customHeight="1" x14ac:dyDescent="0.25">
      <c r="A44" s="4">
        <v>26116251</v>
      </c>
      <c r="B44" s="5" t="s">
        <v>44</v>
      </c>
      <c r="C44" s="6"/>
      <c r="D44" s="5"/>
      <c r="E44" s="7" t="str">
        <f>HYPERLINK("#'26116251 - JOAO F DE ALBUQUER'!A1", "Acessar Aba →")</f>
        <v>Acessar Aba →</v>
      </c>
    </row>
    <row r="45" spans="1:5" ht="21.95" customHeight="1" x14ac:dyDescent="0.25">
      <c r="A45" s="8">
        <v>26188716</v>
      </c>
      <c r="B45" s="9" t="s">
        <v>45</v>
      </c>
      <c r="C45" s="10"/>
      <c r="D45" s="9"/>
      <c r="E45" s="11" t="str">
        <f>HYPERLINK("#'26188716 - MANOEL ALVES DE MO'!A1", "Acessar Aba →")</f>
        <v>Acessar Aba →</v>
      </c>
    </row>
    <row r="46" spans="1:5" ht="21.95" customHeight="1" x14ac:dyDescent="0.25">
      <c r="A46" s="4">
        <v>26116260</v>
      </c>
      <c r="B46" s="5" t="s">
        <v>46</v>
      </c>
      <c r="C46" s="6"/>
      <c r="D46" s="5"/>
      <c r="E46" s="7" t="str">
        <f>HYPERLINK("#'26116260 - MARCILIO DIAS'!A1", "Acessar Aba →")</f>
        <v>Acessar Aba →</v>
      </c>
    </row>
    <row r="47" spans="1:5" ht="21.95" customHeight="1" x14ac:dyDescent="0.25">
      <c r="A47" s="8">
        <v>26116154</v>
      </c>
      <c r="B47" s="9" t="s">
        <v>47</v>
      </c>
      <c r="C47" s="10"/>
      <c r="D47" s="9"/>
      <c r="E47" s="11" t="str">
        <f>HYPERLINK("#'26116154 - MARIA DAS NEVES'!A1", "Acessar Aba →")</f>
        <v>Acessar Aba →</v>
      </c>
    </row>
    <row r="48" spans="1:5" ht="21.95" customHeight="1" x14ac:dyDescent="0.25">
      <c r="A48" s="4">
        <v>26193841</v>
      </c>
      <c r="B48" s="5" t="s">
        <v>48</v>
      </c>
      <c r="C48" s="6"/>
      <c r="D48" s="5"/>
      <c r="E48" s="7" t="str">
        <f>HYPERLINK("#'26193841 - MARIA JOSE BARBOSA'!A1", "Acessar Aba →")</f>
        <v>Acessar Aba →</v>
      </c>
    </row>
    <row r="49" spans="1:5" ht="21.95" customHeight="1" x14ac:dyDescent="0.25">
      <c r="A49" s="8">
        <v>26117215</v>
      </c>
      <c r="B49" s="9" t="s">
        <v>49</v>
      </c>
      <c r="C49" s="10"/>
      <c r="D49" s="9"/>
      <c r="E49" s="11" t="str">
        <f>HYPERLINK("#'26117215 - MATA DO RONCA'!A1", "Acessar Aba →")</f>
        <v>Acessar Aba →</v>
      </c>
    </row>
    <row r="50" spans="1:5" ht="21.95" customHeight="1" x14ac:dyDescent="0.25">
      <c r="A50" s="4">
        <v>26116880</v>
      </c>
      <c r="B50" s="5" t="s">
        <v>50</v>
      </c>
      <c r="C50" s="6"/>
      <c r="D50" s="5"/>
      <c r="E50" s="7" t="str">
        <f>HYPERLINK("#'26116880 - MINISTRO ETELVINO'!A1", "Acessar Aba →")</f>
        <v>Acessar Aba →</v>
      </c>
    </row>
    <row r="51" spans="1:5" ht="21.95" customHeight="1" x14ac:dyDescent="0.25">
      <c r="A51" s="8">
        <v>26116120</v>
      </c>
      <c r="B51" s="9" t="s">
        <v>51</v>
      </c>
      <c r="C51" s="10"/>
      <c r="D51" s="9"/>
      <c r="E51" s="11" t="str">
        <f>HYPERLINK("#'26116120 - MINISTRO MARCOS FR'!A1", "Acessar Aba →")</f>
        <v>Acessar Aba →</v>
      </c>
    </row>
    <row r="52" spans="1:5" ht="21.95" customHeight="1" x14ac:dyDescent="0.25">
      <c r="A52" s="4">
        <v>26196735</v>
      </c>
      <c r="B52" s="5" t="s">
        <v>52</v>
      </c>
      <c r="C52" s="6"/>
      <c r="D52" s="5"/>
      <c r="E52" s="7" t="str">
        <f>HYPERLINK("#'26196735 - MIRIAM FIRMINO DA'!A1", "Acessar Aba →")</f>
        <v>Acessar Aba →</v>
      </c>
    </row>
    <row r="53" spans="1:5" ht="21.95" customHeight="1" x14ac:dyDescent="0.25">
      <c r="A53" s="8">
        <v>26188724</v>
      </c>
      <c r="B53" s="9" t="s">
        <v>53</v>
      </c>
      <c r="C53" s="10"/>
      <c r="D53" s="9"/>
      <c r="E53" s="11" t="str">
        <f>HYPERLINK("#'26188724 - PESCADOR JOSE REIS'!A1", "Acessar Aba →")</f>
        <v>Acessar Aba →</v>
      </c>
    </row>
    <row r="54" spans="1:5" ht="21.95" customHeight="1" x14ac:dyDescent="0.25">
      <c r="A54" s="4">
        <v>26188732</v>
      </c>
      <c r="B54" s="5" t="s">
        <v>54</v>
      </c>
      <c r="C54" s="6"/>
      <c r="D54" s="5"/>
      <c r="E54" s="7" t="str">
        <f>HYPERLINK("#'26188732 - POETISA CECILIA ME'!A1", "Acessar Aba →")</f>
        <v>Acessar Aba →</v>
      </c>
    </row>
    <row r="55" spans="1:5" ht="21.95" customHeight="1" x14ac:dyDescent="0.25">
      <c r="A55" s="8">
        <v>26182564</v>
      </c>
      <c r="B55" s="9" t="s">
        <v>55</v>
      </c>
      <c r="C55" s="10"/>
      <c r="D55" s="9"/>
      <c r="E55" s="11" t="str">
        <f>HYPERLINK("#'26182564 - PAULO FREIRE'!A1", "Acessar Aba →")</f>
        <v>Acessar Aba →</v>
      </c>
    </row>
    <row r="56" spans="1:5" ht="21.95" customHeight="1" x14ac:dyDescent="0.25">
      <c r="A56" s="4">
        <v>26182556</v>
      </c>
      <c r="B56" s="5" t="s">
        <v>56</v>
      </c>
      <c r="C56" s="6"/>
      <c r="D56" s="5"/>
      <c r="E56" s="7" t="str">
        <f>HYPERLINK("#'26182556 - SALVADOR DIMECH'!A1", "Acessar Aba →")</f>
        <v>Acessar Aba →</v>
      </c>
    </row>
    <row r="57" spans="1:5" ht="21.95" customHeight="1" x14ac:dyDescent="0.25">
      <c r="A57" s="8">
        <v>26116910</v>
      </c>
      <c r="B57" s="9" t="s">
        <v>57</v>
      </c>
      <c r="C57" s="10"/>
      <c r="D57" s="9"/>
      <c r="E57" s="11" t="str">
        <f>HYPERLINK("#'26116910 - ALGA MARINA'!A1", "Acessar Aba →")</f>
        <v>Acessar Aba →</v>
      </c>
    </row>
    <row r="58" spans="1:5" ht="21.95" customHeight="1" x14ac:dyDescent="0.25">
      <c r="A58" s="4">
        <v>26188759</v>
      </c>
      <c r="B58" s="5" t="s">
        <v>58</v>
      </c>
      <c r="C58" s="6"/>
      <c r="D58" s="5"/>
      <c r="E58" s="7" t="str">
        <f>HYPERLINK("#'26188759 - EDNA MARINHO DA SI'!A1", "Acessar Aba →")</f>
        <v>Acessar Aba →</v>
      </c>
    </row>
    <row r="59" spans="1:5" ht="21.95" customHeight="1" x14ac:dyDescent="0.25">
      <c r="A59" s="8">
        <v>26188589</v>
      </c>
      <c r="B59" s="9" t="s">
        <v>59</v>
      </c>
      <c r="C59" s="10"/>
      <c r="D59" s="9"/>
      <c r="E59" s="11" t="str">
        <f>HYPERLINK("#'26188589 - IRACEMA CASTRO'!A1", "Acessar Aba →")</f>
        <v>Acessar Aba →</v>
      </c>
    </row>
    <row r="60" spans="1:5" ht="21.95" customHeight="1" x14ac:dyDescent="0.25">
      <c r="A60" s="4">
        <v>26184168</v>
      </c>
      <c r="B60" s="5" t="s">
        <v>60</v>
      </c>
      <c r="C60" s="6"/>
      <c r="D60" s="5"/>
      <c r="E60" s="7" t="str">
        <f>HYPERLINK("#'26184168 - MARGARIDA ALACOQUE'!A1", "Acessar Aba →")</f>
        <v>Acessar Aba →</v>
      </c>
    </row>
    <row r="61" spans="1:5" ht="21.95" customHeight="1" x14ac:dyDescent="0.25">
      <c r="A61" s="8">
        <v>26188546</v>
      </c>
      <c r="B61" s="9" t="s">
        <v>61</v>
      </c>
      <c r="C61" s="10"/>
      <c r="D61" s="9"/>
      <c r="E61" s="11" t="str">
        <f>HYPERLINK("#'26188546 - RADIALISTA EDVALDO'!A1", "Acessar Aba →")</f>
        <v>Acessar Aba →</v>
      </c>
    </row>
    <row r="62" spans="1:5" ht="21.95" customHeight="1" x14ac:dyDescent="0.25">
      <c r="A62" s="4">
        <v>26117509</v>
      </c>
      <c r="B62" s="5" t="s">
        <v>62</v>
      </c>
      <c r="C62" s="6"/>
      <c r="D62" s="5"/>
      <c r="E62" s="7" t="str">
        <f>HYPERLINK("#'26117509 - ROSA AMELIA'!A1", "Acessar Aba →")</f>
        <v>Acessar Aba →</v>
      </c>
    </row>
    <row r="63" spans="1:5" ht="21.95" customHeight="1" x14ac:dyDescent="0.25">
      <c r="A63" s="8">
        <v>26117339</v>
      </c>
      <c r="B63" s="9" t="s">
        <v>63</v>
      </c>
      <c r="C63" s="10"/>
      <c r="D63" s="9"/>
      <c r="E63" s="11" t="str">
        <f>HYPERLINK("#'26117339 - RURAL DE MUMBECA I'!A1", "Acessar Aba →")</f>
        <v>Acessar Aba →</v>
      </c>
    </row>
    <row r="64" spans="1:5" ht="21.95" customHeight="1" x14ac:dyDescent="0.25">
      <c r="A64" s="4">
        <v>26117380</v>
      </c>
      <c r="B64" s="5" t="s">
        <v>64</v>
      </c>
      <c r="C64" s="6"/>
      <c r="D64" s="5"/>
      <c r="E64" s="7" t="str">
        <f>HYPERLINK("#'26117380 - SAO BENTO'!A1", "Acessar Aba →")</f>
        <v>Acessar Aba →</v>
      </c>
    </row>
    <row r="65" spans="1:5" ht="21.95" customHeight="1" x14ac:dyDescent="0.25">
      <c r="A65" s="8">
        <v>26116618</v>
      </c>
      <c r="B65" s="9" t="s">
        <v>65</v>
      </c>
      <c r="C65" s="10"/>
      <c r="D65" s="9"/>
      <c r="E65" s="11" t="str">
        <f>HYPERLINK("#'26116618 - SUSIE REGIS'!A1", "Acessar Aba →")</f>
        <v>Acessar Aba →</v>
      </c>
    </row>
    <row r="66" spans="1:5" ht="21.95" customHeight="1" x14ac:dyDescent="0.25">
      <c r="A66" s="4">
        <v>26116235</v>
      </c>
      <c r="B66" s="5" t="s">
        <v>66</v>
      </c>
      <c r="C66" s="6"/>
      <c r="D66" s="5"/>
      <c r="E66" s="7" t="str">
        <f>HYPERLINK("#'26116235 - ZULIMA PINHO ALVES'!A1", "Acessar Aba →")</f>
        <v>Acessar Aba →</v>
      </c>
    </row>
    <row r="67" spans="1:5" ht="21.95" customHeight="1" x14ac:dyDescent="0.25">
      <c r="A67" s="8">
        <v>26116952</v>
      </c>
      <c r="B67" s="9" t="s">
        <v>67</v>
      </c>
      <c r="C67" s="10"/>
      <c r="D67" s="9"/>
      <c r="E67" s="11" t="str">
        <f>HYPERLINK("#'26116952 - ESCOLA PROFA TEREZ'!A1", "Acessar Aba →")</f>
        <v>Acessar Aba →</v>
      </c>
    </row>
    <row r="68" spans="1:5" ht="21.95" customHeight="1" x14ac:dyDescent="0.25">
      <c r="A68" s="4">
        <v>26117053</v>
      </c>
      <c r="B68" s="5" t="s">
        <v>68</v>
      </c>
      <c r="C68" s="6"/>
      <c r="D68" s="5"/>
      <c r="E68" s="7" t="str">
        <f>HYPERLINK("#'26117053 - FREI GUIDO'!A1", "Acessar Aba →")</f>
        <v>Acessar Aba →</v>
      </c>
    </row>
    <row r="69" spans="1:5" ht="21.95" customHeight="1" x14ac:dyDescent="0.25">
      <c r="A69" s="8">
        <v>26190486</v>
      </c>
      <c r="B69" s="9" t="s">
        <v>69</v>
      </c>
      <c r="C69" s="10"/>
      <c r="D69" s="9"/>
      <c r="E69" s="11" t="str">
        <f>HYPERLINK("#'26190486 - CEMEDI'!A1", "Acessar Aba →")</f>
        <v>Acessar Aba →</v>
      </c>
    </row>
    <row r="72" spans="1:5" ht="20.100000000000001" customHeight="1" x14ac:dyDescent="0.25">
      <c r="A72" s="12" t="s">
        <v>70</v>
      </c>
    </row>
    <row r="73" spans="1:5" x14ac:dyDescent="0.25">
      <c r="A73" s="3" t="s">
        <v>71</v>
      </c>
      <c r="B73" s="3" t="s">
        <v>72</v>
      </c>
    </row>
    <row r="74" spans="1:5" ht="20.100000000000001" customHeight="1" x14ac:dyDescent="0.25">
      <c r="A74" s="13"/>
      <c r="B74" s="14" t="s">
        <v>73</v>
      </c>
    </row>
    <row r="75" spans="1:5" ht="20.100000000000001" customHeight="1" x14ac:dyDescent="0.25">
      <c r="A75" s="15"/>
      <c r="B75" s="14" t="s">
        <v>74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78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79</v>
      </c>
      <c r="E4" s="1" t="s">
        <v>80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26196743</v>
      </c>
      <c r="C8" s="6" t="s">
        <v>99</v>
      </c>
      <c r="D8" s="5" t="s">
        <v>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26196743</v>
      </c>
      <c r="C9" s="10" t="s">
        <v>99</v>
      </c>
      <c r="D9" s="9" t="s">
        <v>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26196743</v>
      </c>
      <c r="C10" s="6" t="s">
        <v>99</v>
      </c>
      <c r="D10" s="5" t="s">
        <v>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26196743</v>
      </c>
      <c r="C11" s="10" t="s">
        <v>99</v>
      </c>
      <c r="D11" s="9" t="s">
        <v>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26196743</v>
      </c>
      <c r="C12" s="6" t="s">
        <v>99</v>
      </c>
      <c r="D12" s="5" t="s">
        <v>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26196743</v>
      </c>
      <c r="C13" s="10" t="s">
        <v>99</v>
      </c>
      <c r="D13" s="9" t="s">
        <v>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26196743</v>
      </c>
      <c r="C14" s="6" t="s">
        <v>99</v>
      </c>
      <c r="D14" s="5" t="s">
        <v>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26196743</v>
      </c>
      <c r="C15" s="10" t="s">
        <v>99</v>
      </c>
      <c r="D15" s="9" t="s">
        <v>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26196743</v>
      </c>
      <c r="C16" s="6" t="s">
        <v>99</v>
      </c>
      <c r="D16" s="5" t="s">
        <v>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26196743</v>
      </c>
      <c r="C17" s="10" t="s">
        <v>99</v>
      </c>
      <c r="D17" s="9" t="s">
        <v>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26196743</v>
      </c>
      <c r="C18" s="6" t="s">
        <v>99</v>
      </c>
      <c r="D18" s="5" t="s">
        <v>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26196743</v>
      </c>
      <c r="C19" s="10" t="s">
        <v>99</v>
      </c>
      <c r="D19" s="9" t="s">
        <v>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26196743</v>
      </c>
      <c r="C20" s="6" t="s">
        <v>99</v>
      </c>
      <c r="D20" s="5" t="s">
        <v>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26196743</v>
      </c>
      <c r="C21" s="10" t="s">
        <v>99</v>
      </c>
      <c r="D21" s="9" t="s">
        <v>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26196743</v>
      </c>
      <c r="C22" s="6" t="s">
        <v>99</v>
      </c>
      <c r="D22" s="5" t="s">
        <v>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100-000000000000}">
      <formula1>"SIM,NÃO"</formula1>
    </dataValidation>
    <dataValidation type="list" allowBlank="1" sqref="J8:J22" xr:uid="{00000000-0002-0000-0100-000001000000}">
      <formula1>"JANEIRO,FEVEREIRO,MARÇO,ABRIL,MAIO,JUNHO,JULHO,AGOSTO,SETEMBRO,OUTUBRO,NOVEMBRO,DEZEMBRO"</formula1>
    </dataValidation>
    <dataValidation type="list" allowBlank="1" sqref="L8:L22" xr:uid="{00000000-0002-0000-0100-000002000000}">
      <formula1>"doença,Questões de saúde,Evasão escolar,Mudança de domicílio,Dificuldade de acesso/transporte,Outros"</formula1>
    </dataValidation>
    <dataValidation type="list" allowBlank="1" sqref="M8:M22" xr:uid="{00000000-0002-0000-0100-000003000000}">
      <formula1>"PESSOALMENTE,TELEFONE,WHATSAPP,VISITA DOMICILIAR,OUTRO"</formula1>
    </dataValidation>
    <dataValidation type="list" allowBlank="1" sqref="O8:O22" xr:uid="{00000000-0002-0000-01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100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101</v>
      </c>
      <c r="E4" s="1" t="s">
        <v>102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26157284</v>
      </c>
      <c r="C8" s="6" t="s">
        <v>99</v>
      </c>
      <c r="D8" s="5" t="s">
        <v>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26157284</v>
      </c>
      <c r="C9" s="10" t="s">
        <v>99</v>
      </c>
      <c r="D9" s="9" t="s">
        <v>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26157284</v>
      </c>
      <c r="C10" s="6" t="s">
        <v>99</v>
      </c>
      <c r="D10" s="5" t="s">
        <v>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26157284</v>
      </c>
      <c r="C11" s="10" t="s">
        <v>99</v>
      </c>
      <c r="D11" s="9" t="s">
        <v>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26157284</v>
      </c>
      <c r="C12" s="6" t="s">
        <v>99</v>
      </c>
      <c r="D12" s="5" t="s">
        <v>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26157284</v>
      </c>
      <c r="C13" s="10" t="s">
        <v>99</v>
      </c>
      <c r="D13" s="9" t="s">
        <v>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26157284</v>
      </c>
      <c r="C14" s="6" t="s">
        <v>99</v>
      </c>
      <c r="D14" s="5" t="s">
        <v>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26157284</v>
      </c>
      <c r="C15" s="10" t="s">
        <v>99</v>
      </c>
      <c r="D15" s="9" t="s">
        <v>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26157284</v>
      </c>
      <c r="C16" s="6" t="s">
        <v>99</v>
      </c>
      <c r="D16" s="5" t="s">
        <v>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26157284</v>
      </c>
      <c r="C17" s="10" t="s">
        <v>99</v>
      </c>
      <c r="D17" s="9" t="s">
        <v>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26157284</v>
      </c>
      <c r="C18" s="6" t="s">
        <v>99</v>
      </c>
      <c r="D18" s="5" t="s">
        <v>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26157284</v>
      </c>
      <c r="C19" s="10" t="s">
        <v>99</v>
      </c>
      <c r="D19" s="9" t="s">
        <v>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26157284</v>
      </c>
      <c r="C20" s="6" t="s">
        <v>99</v>
      </c>
      <c r="D20" s="5" t="s">
        <v>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26157284</v>
      </c>
      <c r="C21" s="10" t="s">
        <v>99</v>
      </c>
      <c r="D21" s="9" t="s">
        <v>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26157284</v>
      </c>
      <c r="C22" s="6" t="s">
        <v>99</v>
      </c>
      <c r="D22" s="5" t="s">
        <v>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200-000000000000}">
      <formula1>"SIM,NÃO"</formula1>
    </dataValidation>
    <dataValidation type="list" allowBlank="1" sqref="J8:J22" xr:uid="{00000000-0002-0000-0200-000001000000}">
      <formula1>"JANEIRO,FEVEREIRO,MARÇO,ABRIL,MAIO,JUNHO,JULHO,AGOSTO,SETEMBRO,OUTUBRO,NOVEMBRO,DEZEMBRO"</formula1>
    </dataValidation>
    <dataValidation type="list" allowBlank="1" sqref="L8:L22" xr:uid="{00000000-0002-0000-0200-000002000000}">
      <formula1>"doença,Questões de saúde,Evasão escolar,Mudança de domicílio,Dificuldade de acesso/transporte,Outros"</formula1>
    </dataValidation>
    <dataValidation type="list" allowBlank="1" sqref="M8:M22" xr:uid="{00000000-0002-0000-0200-000003000000}">
      <formula1>"PESSOALMENTE,TELEFONE,WHATSAPP,VISITA DOMICILIAR,OUTRO"</formula1>
    </dataValidation>
    <dataValidation type="list" allowBlank="1" sqref="O8:O22" xr:uid="{00000000-0002-0000-02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103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104</v>
      </c>
      <c r="E4" s="1" t="s">
        <v>105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26134553</v>
      </c>
      <c r="C8" s="6" t="s">
        <v>99</v>
      </c>
      <c r="D8" s="5" t="s">
        <v>10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26134553</v>
      </c>
      <c r="C9" s="10" t="s">
        <v>99</v>
      </c>
      <c r="D9" s="9" t="s">
        <v>10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26134553</v>
      </c>
      <c r="C10" s="6" t="s">
        <v>99</v>
      </c>
      <c r="D10" s="5" t="s">
        <v>10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26134553</v>
      </c>
      <c r="C11" s="10" t="s">
        <v>99</v>
      </c>
      <c r="D11" s="9" t="s">
        <v>10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26134553</v>
      </c>
      <c r="C12" s="6" t="s">
        <v>99</v>
      </c>
      <c r="D12" s="5" t="s">
        <v>10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26134553</v>
      </c>
      <c r="C13" s="10" t="s">
        <v>99</v>
      </c>
      <c r="D13" s="9" t="s">
        <v>10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26134553</v>
      </c>
      <c r="C14" s="6" t="s">
        <v>99</v>
      </c>
      <c r="D14" s="5" t="s">
        <v>10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26134553</v>
      </c>
      <c r="C15" s="10" t="s">
        <v>99</v>
      </c>
      <c r="D15" s="9" t="s">
        <v>10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26134553</v>
      </c>
      <c r="C16" s="6" t="s">
        <v>99</v>
      </c>
      <c r="D16" s="5" t="s">
        <v>10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26134553</v>
      </c>
      <c r="C17" s="10" t="s">
        <v>99</v>
      </c>
      <c r="D17" s="9" t="s">
        <v>10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26134553</v>
      </c>
      <c r="C18" s="6" t="s">
        <v>99</v>
      </c>
      <c r="D18" s="5" t="s">
        <v>10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26134553</v>
      </c>
      <c r="C19" s="10" t="s">
        <v>99</v>
      </c>
      <c r="D19" s="9" t="s">
        <v>10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26134553</v>
      </c>
      <c r="C20" s="6" t="s">
        <v>99</v>
      </c>
      <c r="D20" s="5" t="s">
        <v>10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26134553</v>
      </c>
      <c r="C21" s="10" t="s">
        <v>99</v>
      </c>
      <c r="D21" s="9" t="s">
        <v>10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26134553</v>
      </c>
      <c r="C22" s="6" t="s">
        <v>99</v>
      </c>
      <c r="D22" s="5" t="s">
        <v>10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300-000000000000}">
      <formula1>"SIM,NÃO"</formula1>
    </dataValidation>
    <dataValidation type="list" allowBlank="1" sqref="J8:J22" xr:uid="{00000000-0002-0000-0300-000001000000}">
      <formula1>"JANEIRO,FEVEREIRO,MARÇO,ABRIL,MAIO,JUNHO,JULHO,AGOSTO,SETEMBRO,OUTUBRO,NOVEMBRO,DEZEMBRO"</formula1>
    </dataValidation>
    <dataValidation type="list" allowBlank="1" sqref="L8:L22" xr:uid="{00000000-0002-0000-0300-000002000000}">
      <formula1>"doença,Questões de saúde,Evasão escolar,Mudança de domicílio,Dificuldade de acesso/transporte,Outros"</formula1>
    </dataValidation>
    <dataValidation type="list" allowBlank="1" sqref="M8:M22" xr:uid="{00000000-0002-0000-0300-000003000000}">
      <formula1>"PESSOALMENTE,TELEFONE,WHATSAPP,VISITA DOMICILIAR,OUTRO"</formula1>
    </dataValidation>
    <dataValidation type="list" allowBlank="1" sqref="O8:O22" xr:uid="{00000000-0002-0000-03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106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107</v>
      </c>
      <c r="E4" s="1" t="s">
        <v>108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26115530</v>
      </c>
      <c r="C8" s="6" t="s">
        <v>99</v>
      </c>
      <c r="D8" s="5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26115530</v>
      </c>
      <c r="C9" s="10" t="s">
        <v>99</v>
      </c>
      <c r="D9" s="9" t="s">
        <v>11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26115530</v>
      </c>
      <c r="C10" s="6" t="s">
        <v>99</v>
      </c>
      <c r="D10" s="5" t="s">
        <v>11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26115530</v>
      </c>
      <c r="C11" s="10" t="s">
        <v>99</v>
      </c>
      <c r="D11" s="9" t="s">
        <v>11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26115530</v>
      </c>
      <c r="C12" s="6" t="s">
        <v>99</v>
      </c>
      <c r="D12" s="5" t="s">
        <v>11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26115530</v>
      </c>
      <c r="C13" s="10" t="s">
        <v>99</v>
      </c>
      <c r="D13" s="9" t="s">
        <v>11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26115530</v>
      </c>
      <c r="C14" s="6" t="s">
        <v>99</v>
      </c>
      <c r="D14" s="5" t="s">
        <v>11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26115530</v>
      </c>
      <c r="C15" s="10" t="s">
        <v>99</v>
      </c>
      <c r="D15" s="9" t="s">
        <v>11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26115530</v>
      </c>
      <c r="C16" s="6" t="s">
        <v>99</v>
      </c>
      <c r="D16" s="5" t="s">
        <v>11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26115530</v>
      </c>
      <c r="C17" s="10" t="s">
        <v>99</v>
      </c>
      <c r="D17" s="9" t="s">
        <v>11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26115530</v>
      </c>
      <c r="C18" s="6" t="s">
        <v>99</v>
      </c>
      <c r="D18" s="5" t="s">
        <v>11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26115530</v>
      </c>
      <c r="C19" s="10" t="s">
        <v>99</v>
      </c>
      <c r="D19" s="9" t="s">
        <v>11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26115530</v>
      </c>
      <c r="C20" s="6" t="s">
        <v>99</v>
      </c>
      <c r="D20" s="5" t="s">
        <v>11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26115530</v>
      </c>
      <c r="C21" s="10" t="s">
        <v>99</v>
      </c>
      <c r="D21" s="9" t="s">
        <v>11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26115530</v>
      </c>
      <c r="C22" s="6" t="s">
        <v>99</v>
      </c>
      <c r="D22" s="5" t="s">
        <v>11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400-000000000000}">
      <formula1>"SIM,NÃO"</formula1>
    </dataValidation>
    <dataValidation type="list" allowBlank="1" sqref="J8:J22" xr:uid="{00000000-0002-0000-0400-000001000000}">
      <formula1>"JANEIRO,FEVEREIRO,MARÇO,ABRIL,MAIO,JUNHO,JULHO,AGOSTO,SETEMBRO,OUTUBRO,NOVEMBRO,DEZEMBRO"</formula1>
    </dataValidation>
    <dataValidation type="list" allowBlank="1" sqref="L8:L22" xr:uid="{00000000-0002-0000-0400-000002000000}">
      <formula1>"doença,Questões de saúde,Evasão escolar,Mudança de domicílio,Dificuldade de acesso/transporte,Outros"</formula1>
    </dataValidation>
    <dataValidation type="list" allowBlank="1" sqref="M8:M22" xr:uid="{00000000-0002-0000-0400-000003000000}">
      <formula1>"PESSOALMENTE,TELEFONE,WHATSAPP,VISITA DOMICILIAR,OUTRO"</formula1>
    </dataValidation>
    <dataValidation type="list" allowBlank="1" sqref="O8:O22" xr:uid="{00000000-0002-0000-04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109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110</v>
      </c>
      <c r="E4" s="1" t="s">
        <v>111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26187418</v>
      </c>
      <c r="C8" s="6" t="s">
        <v>99</v>
      </c>
      <c r="D8" s="5" t="s">
        <v>12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26187418</v>
      </c>
      <c r="C9" s="10" t="s">
        <v>99</v>
      </c>
      <c r="D9" s="9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26187418</v>
      </c>
      <c r="C10" s="6" t="s">
        <v>99</v>
      </c>
      <c r="D10" s="5" t="s">
        <v>12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26187418</v>
      </c>
      <c r="C11" s="10" t="s">
        <v>99</v>
      </c>
      <c r="D11" s="9" t="s">
        <v>12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26187418</v>
      </c>
      <c r="C12" s="6" t="s">
        <v>99</v>
      </c>
      <c r="D12" s="5" t="s">
        <v>12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26187418</v>
      </c>
      <c r="C13" s="10" t="s">
        <v>99</v>
      </c>
      <c r="D13" s="9" t="s">
        <v>12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26187418</v>
      </c>
      <c r="C14" s="6" t="s">
        <v>99</v>
      </c>
      <c r="D14" s="5" t="s">
        <v>12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26187418</v>
      </c>
      <c r="C15" s="10" t="s">
        <v>99</v>
      </c>
      <c r="D15" s="9" t="s">
        <v>12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26187418</v>
      </c>
      <c r="C16" s="6" t="s">
        <v>99</v>
      </c>
      <c r="D16" s="5" t="s">
        <v>12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26187418</v>
      </c>
      <c r="C17" s="10" t="s">
        <v>99</v>
      </c>
      <c r="D17" s="9" t="s">
        <v>12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26187418</v>
      </c>
      <c r="C18" s="6" t="s">
        <v>99</v>
      </c>
      <c r="D18" s="5" t="s">
        <v>12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26187418</v>
      </c>
      <c r="C19" s="10" t="s">
        <v>99</v>
      </c>
      <c r="D19" s="9" t="s">
        <v>12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26187418</v>
      </c>
      <c r="C20" s="6" t="s">
        <v>99</v>
      </c>
      <c r="D20" s="5" t="s">
        <v>12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26187418</v>
      </c>
      <c r="C21" s="10" t="s">
        <v>99</v>
      </c>
      <c r="D21" s="9" t="s">
        <v>12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26187418</v>
      </c>
      <c r="C22" s="6" t="s">
        <v>99</v>
      </c>
      <c r="D22" s="5" t="s">
        <v>12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500-000000000000}">
      <formula1>"SIM,NÃO"</formula1>
    </dataValidation>
    <dataValidation type="list" allowBlank="1" sqref="J8:J22" xr:uid="{00000000-0002-0000-0500-000001000000}">
      <formula1>"JANEIRO,FEVEREIRO,MARÇO,ABRIL,MAIO,JUNHO,JULHO,AGOSTO,SETEMBRO,OUTUBRO,NOVEMBRO,DEZEMBRO"</formula1>
    </dataValidation>
    <dataValidation type="list" allowBlank="1" sqref="L8:L22" xr:uid="{00000000-0002-0000-0500-000002000000}">
      <formula1>"doença,Questões de saúde,Evasão escolar,Mudança de domicílio,Dificuldade de acesso/transporte,Outros"</formula1>
    </dataValidation>
    <dataValidation type="list" allowBlank="1" sqref="M8:M22" xr:uid="{00000000-0002-0000-0500-000003000000}">
      <formula1>"PESSOALMENTE,TELEFONE,WHATSAPP,VISITA DOMICILIAR,OUTRO"</formula1>
    </dataValidation>
    <dataValidation type="list" allowBlank="1" sqref="O8:O22" xr:uid="{00000000-0002-0000-05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112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113</v>
      </c>
      <c r="E4" s="1" t="s">
        <v>114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26116537</v>
      </c>
      <c r="C8" s="6" t="s">
        <v>99</v>
      </c>
      <c r="D8" s="5" t="s">
        <v>13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26116537</v>
      </c>
      <c r="C9" s="10" t="s">
        <v>99</v>
      </c>
      <c r="D9" s="9" t="s">
        <v>13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26116537</v>
      </c>
      <c r="C10" s="6" t="s">
        <v>99</v>
      </c>
      <c r="D10" s="5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26116537</v>
      </c>
      <c r="C11" s="10" t="s">
        <v>99</v>
      </c>
      <c r="D11" s="9" t="s">
        <v>13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26116537</v>
      </c>
      <c r="C12" s="6" t="s">
        <v>99</v>
      </c>
      <c r="D12" s="5" t="s">
        <v>13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26116537</v>
      </c>
      <c r="C13" s="10" t="s">
        <v>99</v>
      </c>
      <c r="D13" s="9" t="s">
        <v>13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26116537</v>
      </c>
      <c r="C14" s="6" t="s">
        <v>99</v>
      </c>
      <c r="D14" s="5" t="s">
        <v>13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26116537</v>
      </c>
      <c r="C15" s="10" t="s">
        <v>99</v>
      </c>
      <c r="D15" s="9" t="s">
        <v>13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26116537</v>
      </c>
      <c r="C16" s="6" t="s">
        <v>99</v>
      </c>
      <c r="D16" s="5" t="s">
        <v>13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26116537</v>
      </c>
      <c r="C17" s="10" t="s">
        <v>99</v>
      </c>
      <c r="D17" s="9" t="s">
        <v>13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26116537</v>
      </c>
      <c r="C18" s="6" t="s">
        <v>99</v>
      </c>
      <c r="D18" s="5" t="s">
        <v>13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26116537</v>
      </c>
      <c r="C19" s="10" t="s">
        <v>99</v>
      </c>
      <c r="D19" s="9" t="s">
        <v>13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26116537</v>
      </c>
      <c r="C20" s="6" t="s">
        <v>99</v>
      </c>
      <c r="D20" s="5" t="s">
        <v>13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26116537</v>
      </c>
      <c r="C21" s="10" t="s">
        <v>99</v>
      </c>
      <c r="D21" s="9" t="s">
        <v>13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26116537</v>
      </c>
      <c r="C22" s="6" t="s">
        <v>99</v>
      </c>
      <c r="D22" s="5" t="s">
        <v>13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600-000000000000}">
      <formula1>"SIM,NÃO"</formula1>
    </dataValidation>
    <dataValidation type="list" allowBlank="1" sqref="J8:J22" xr:uid="{00000000-0002-0000-0600-000001000000}">
      <formula1>"JANEIRO,FEVEREIRO,MARÇO,ABRIL,MAIO,JUNHO,JULHO,AGOSTO,SETEMBRO,OUTUBRO,NOVEMBRO,DEZEMBRO"</formula1>
    </dataValidation>
    <dataValidation type="list" allowBlank="1" sqref="L8:L22" xr:uid="{00000000-0002-0000-0600-000002000000}">
      <formula1>"doença,Questões de saúde,Evasão escolar,Mudança de domicílio,Dificuldade de acesso/transporte,Outros"</formula1>
    </dataValidation>
    <dataValidation type="list" allowBlank="1" sqref="M8:M22" xr:uid="{00000000-0002-0000-0600-000003000000}">
      <formula1>"PESSOALMENTE,TELEFONE,WHATSAPP,VISITA DOMICILIAR,OUTRO"</formula1>
    </dataValidation>
    <dataValidation type="list" allowBlank="1" sqref="O8:O22" xr:uid="{00000000-0002-0000-06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115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116</v>
      </c>
      <c r="E4" s="1" t="s">
        <v>117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26182580</v>
      </c>
      <c r="C8" s="6" t="s">
        <v>99</v>
      </c>
      <c r="D8" s="5" t="s">
        <v>14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26182580</v>
      </c>
      <c r="C9" s="10" t="s">
        <v>99</v>
      </c>
      <c r="D9" s="9" t="s">
        <v>14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26182580</v>
      </c>
      <c r="C10" s="6" t="s">
        <v>99</v>
      </c>
      <c r="D10" s="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26182580</v>
      </c>
      <c r="C11" s="10" t="s">
        <v>99</v>
      </c>
      <c r="D11" s="9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26182580</v>
      </c>
      <c r="C12" s="6" t="s">
        <v>99</v>
      </c>
      <c r="D12" s="5" t="s">
        <v>14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26182580</v>
      </c>
      <c r="C13" s="10" t="s">
        <v>99</v>
      </c>
      <c r="D13" s="9" t="s">
        <v>14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26182580</v>
      </c>
      <c r="C14" s="6" t="s">
        <v>99</v>
      </c>
      <c r="D14" s="5" t="s">
        <v>14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26182580</v>
      </c>
      <c r="C15" s="10" t="s">
        <v>99</v>
      </c>
      <c r="D15" s="9" t="s">
        <v>14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26182580</v>
      </c>
      <c r="C16" s="6" t="s">
        <v>99</v>
      </c>
      <c r="D16" s="5" t="s">
        <v>14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26182580</v>
      </c>
      <c r="C17" s="10" t="s">
        <v>99</v>
      </c>
      <c r="D17" s="9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26182580</v>
      </c>
      <c r="C18" s="6" t="s">
        <v>99</v>
      </c>
      <c r="D18" s="5" t="s">
        <v>14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26182580</v>
      </c>
      <c r="C19" s="10" t="s">
        <v>99</v>
      </c>
      <c r="D19" s="9" t="s">
        <v>14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26182580</v>
      </c>
      <c r="C20" s="6" t="s">
        <v>99</v>
      </c>
      <c r="D20" s="5" t="s">
        <v>14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26182580</v>
      </c>
      <c r="C21" s="10" t="s">
        <v>99</v>
      </c>
      <c r="D21" s="9" t="s">
        <v>14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26182580</v>
      </c>
      <c r="C22" s="6" t="s">
        <v>99</v>
      </c>
      <c r="D22" s="5" t="s">
        <v>14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700-000000000000}">
      <formula1>"SIM,NÃO"</formula1>
    </dataValidation>
    <dataValidation type="list" allowBlank="1" sqref="J8:J22" xr:uid="{00000000-0002-0000-0700-000001000000}">
      <formula1>"JANEIRO,FEVEREIRO,MARÇO,ABRIL,MAIO,JUNHO,JULHO,AGOSTO,SETEMBRO,OUTUBRO,NOVEMBRO,DEZEMBRO"</formula1>
    </dataValidation>
    <dataValidation type="list" allowBlank="1" sqref="L8:L22" xr:uid="{00000000-0002-0000-0700-000002000000}">
      <formula1>"doença,Questões de saúde,Evasão escolar,Mudança de domicílio,Dificuldade de acesso/transporte,Outros"</formula1>
    </dataValidation>
    <dataValidation type="list" allowBlank="1" sqref="M8:M22" xr:uid="{00000000-0002-0000-0700-000003000000}">
      <formula1>"PESSOALMENTE,TELEFONE,WHATSAPP,VISITA DOMICILIAR,OUTRO"</formula1>
    </dataValidation>
    <dataValidation type="list" allowBlank="1" sqref="O8:O22" xr:uid="{00000000-0002-0000-07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118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119</v>
      </c>
      <c r="E4" s="1" t="s">
        <v>120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26116790</v>
      </c>
      <c r="C8" s="6" t="s">
        <v>99</v>
      </c>
      <c r="D8" s="5" t="s">
        <v>15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26116790</v>
      </c>
      <c r="C9" s="10" t="s">
        <v>99</v>
      </c>
      <c r="D9" s="9" t="s">
        <v>15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26116790</v>
      </c>
      <c r="C10" s="6" t="s">
        <v>99</v>
      </c>
      <c r="D10" s="5" t="s">
        <v>15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26116790</v>
      </c>
      <c r="C11" s="10" t="s">
        <v>99</v>
      </c>
      <c r="D11" s="9" t="s">
        <v>15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26116790</v>
      </c>
      <c r="C12" s="6" t="s">
        <v>99</v>
      </c>
      <c r="D12" s="5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26116790</v>
      </c>
      <c r="C13" s="10" t="s">
        <v>99</v>
      </c>
      <c r="D13" s="9" t="s">
        <v>15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26116790</v>
      </c>
      <c r="C14" s="6" t="s">
        <v>99</v>
      </c>
      <c r="D14" s="5" t="s">
        <v>15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26116790</v>
      </c>
      <c r="C15" s="10" t="s">
        <v>99</v>
      </c>
      <c r="D15" s="9" t="s">
        <v>15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26116790</v>
      </c>
      <c r="C16" s="6" t="s">
        <v>99</v>
      </c>
      <c r="D16" s="5" t="s">
        <v>15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26116790</v>
      </c>
      <c r="C17" s="10" t="s">
        <v>99</v>
      </c>
      <c r="D17" s="9" t="s">
        <v>15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26116790</v>
      </c>
      <c r="C18" s="6" t="s">
        <v>99</v>
      </c>
      <c r="D18" s="5" t="s">
        <v>15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26116790</v>
      </c>
      <c r="C19" s="10" t="s">
        <v>99</v>
      </c>
      <c r="D19" s="9" t="s">
        <v>15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26116790</v>
      </c>
      <c r="C20" s="6" t="s">
        <v>99</v>
      </c>
      <c r="D20" s="5" t="s">
        <v>15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26116790</v>
      </c>
      <c r="C21" s="10" t="s">
        <v>99</v>
      </c>
      <c r="D21" s="9" t="s">
        <v>15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26116790</v>
      </c>
      <c r="C22" s="6" t="s">
        <v>99</v>
      </c>
      <c r="D22" s="5" t="s">
        <v>15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800-000000000000}">
      <formula1>"SIM,NÃO"</formula1>
    </dataValidation>
    <dataValidation type="list" allowBlank="1" sqref="J8:J22" xr:uid="{00000000-0002-0000-0800-000001000000}">
      <formula1>"JANEIRO,FEVEREIRO,MARÇO,ABRIL,MAIO,JUNHO,JULHO,AGOSTO,SETEMBRO,OUTUBRO,NOVEMBRO,DEZEMBRO"</formula1>
    </dataValidation>
    <dataValidation type="list" allowBlank="1" sqref="L8:L22" xr:uid="{00000000-0002-0000-0800-000002000000}">
      <formula1>"doença,Questões de saúde,Evasão escolar,Mudança de domicílio,Dificuldade de acesso/transporte,Outros"</formula1>
    </dataValidation>
    <dataValidation type="list" allowBlank="1" sqref="M8:M22" xr:uid="{00000000-0002-0000-0800-000003000000}">
      <formula1>"PESSOALMENTE,TELEFONE,WHATSAPP,VISITA DOMICILIAR,OUTRO"</formula1>
    </dataValidation>
    <dataValidation type="list" allowBlank="1" sqref="O8:O22" xr:uid="{00000000-0002-0000-08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121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122</v>
      </c>
      <c r="E4" s="1" t="s">
        <v>123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26116901</v>
      </c>
      <c r="C8" s="6" t="s">
        <v>99</v>
      </c>
      <c r="D8" s="5" t="s">
        <v>16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26116901</v>
      </c>
      <c r="C9" s="10" t="s">
        <v>99</v>
      </c>
      <c r="D9" s="9" t="s">
        <v>16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26116901</v>
      </c>
      <c r="C10" s="6" t="s">
        <v>99</v>
      </c>
      <c r="D10" s="5" t="s">
        <v>16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26116901</v>
      </c>
      <c r="C11" s="10" t="s">
        <v>99</v>
      </c>
      <c r="D11" s="9" t="s">
        <v>16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26116901</v>
      </c>
      <c r="C12" s="6" t="s">
        <v>99</v>
      </c>
      <c r="D12" s="5" t="s">
        <v>16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26116901</v>
      </c>
      <c r="C13" s="10" t="s">
        <v>99</v>
      </c>
      <c r="D13" s="9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26116901</v>
      </c>
      <c r="C14" s="6" t="s">
        <v>99</v>
      </c>
      <c r="D14" s="5" t="s">
        <v>16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26116901</v>
      </c>
      <c r="C15" s="10" t="s">
        <v>99</v>
      </c>
      <c r="D15" s="9" t="s">
        <v>16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26116901</v>
      </c>
      <c r="C16" s="6" t="s">
        <v>99</v>
      </c>
      <c r="D16" s="5" t="s">
        <v>16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26116901</v>
      </c>
      <c r="C17" s="10" t="s">
        <v>99</v>
      </c>
      <c r="D17" s="9" t="s">
        <v>16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26116901</v>
      </c>
      <c r="C18" s="6" t="s">
        <v>99</v>
      </c>
      <c r="D18" s="5" t="s">
        <v>16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26116901</v>
      </c>
      <c r="C19" s="10" t="s">
        <v>99</v>
      </c>
      <c r="D19" s="9" t="s">
        <v>16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26116901</v>
      </c>
      <c r="C20" s="6" t="s">
        <v>99</v>
      </c>
      <c r="D20" s="5" t="s">
        <v>16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26116901</v>
      </c>
      <c r="C21" s="10" t="s">
        <v>99</v>
      </c>
      <c r="D21" s="9" t="s">
        <v>16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26116901</v>
      </c>
      <c r="C22" s="6" t="s">
        <v>99</v>
      </c>
      <c r="D22" s="5" t="s">
        <v>16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900-000000000000}">
      <formula1>"SIM,NÃO"</formula1>
    </dataValidation>
    <dataValidation type="list" allowBlank="1" sqref="J8:J22" xr:uid="{00000000-0002-0000-0900-000001000000}">
      <formula1>"JANEIRO,FEVEREIRO,MARÇO,ABRIL,MAIO,JUNHO,JULHO,AGOSTO,SETEMBRO,OUTUBRO,NOVEMBRO,DEZEMBRO"</formula1>
    </dataValidation>
    <dataValidation type="list" allowBlank="1" sqref="L8:L22" xr:uid="{00000000-0002-0000-0900-000002000000}">
      <formula1>"doença,Questões de saúde,Evasão escolar,Mudança de domicílio,Dificuldade de acesso/transporte,Outros"</formula1>
    </dataValidation>
    <dataValidation type="list" allowBlank="1" sqref="M8:M22" xr:uid="{00000000-0002-0000-0900-000003000000}">
      <formula1>"PESSOALMENTE,TELEFONE,WHATSAPP,VISITA DOMICILIAR,OUTRO"</formula1>
    </dataValidation>
    <dataValidation type="list" allowBlank="1" sqref="O8:O22" xr:uid="{00000000-0002-0000-09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124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125</v>
      </c>
      <c r="E4" s="1" t="s">
        <v>126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26116715</v>
      </c>
      <c r="C8" s="6" t="s">
        <v>99</v>
      </c>
      <c r="D8" s="5" t="s">
        <v>17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26116715</v>
      </c>
      <c r="C9" s="10" t="s">
        <v>99</v>
      </c>
      <c r="D9" s="9" t="s">
        <v>17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26116715</v>
      </c>
      <c r="C10" s="6" t="s">
        <v>99</v>
      </c>
      <c r="D10" s="5" t="s">
        <v>17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26116715</v>
      </c>
      <c r="C11" s="10" t="s">
        <v>99</v>
      </c>
      <c r="D11" s="9" t="s">
        <v>17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26116715</v>
      </c>
      <c r="C12" s="6" t="s">
        <v>99</v>
      </c>
      <c r="D12" s="5" t="s">
        <v>17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26116715</v>
      </c>
      <c r="C13" s="10" t="s">
        <v>99</v>
      </c>
      <c r="D13" s="9" t="s">
        <v>17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26116715</v>
      </c>
      <c r="C14" s="6" t="s">
        <v>99</v>
      </c>
      <c r="D14" s="5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26116715</v>
      </c>
      <c r="C15" s="10" t="s">
        <v>99</v>
      </c>
      <c r="D15" s="9" t="s">
        <v>17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26116715</v>
      </c>
      <c r="C16" s="6" t="s">
        <v>99</v>
      </c>
      <c r="D16" s="5" t="s">
        <v>17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26116715</v>
      </c>
      <c r="C17" s="10" t="s">
        <v>99</v>
      </c>
      <c r="D17" s="9" t="s">
        <v>17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26116715</v>
      </c>
      <c r="C18" s="6" t="s">
        <v>99</v>
      </c>
      <c r="D18" s="5" t="s">
        <v>17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26116715</v>
      </c>
      <c r="C19" s="10" t="s">
        <v>99</v>
      </c>
      <c r="D19" s="9" t="s">
        <v>17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26116715</v>
      </c>
      <c r="C20" s="6" t="s">
        <v>99</v>
      </c>
      <c r="D20" s="5" t="s">
        <v>17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26116715</v>
      </c>
      <c r="C21" s="10" t="s">
        <v>99</v>
      </c>
      <c r="D21" s="9" t="s">
        <v>17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26116715</v>
      </c>
      <c r="C22" s="6" t="s">
        <v>99</v>
      </c>
      <c r="D22" s="5" t="s">
        <v>17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A00-000000000000}">
      <formula1>"SIM,NÃO"</formula1>
    </dataValidation>
    <dataValidation type="list" allowBlank="1" sqref="J8:J22" xr:uid="{00000000-0002-0000-0A00-000001000000}">
      <formula1>"JANEIRO,FEVEREIRO,MARÇO,ABRIL,MAIO,JUNHO,JULHO,AGOSTO,SETEMBRO,OUTUBRO,NOVEMBRO,DEZEMBRO"</formula1>
    </dataValidation>
    <dataValidation type="list" allowBlank="1" sqref="L8:L22" xr:uid="{00000000-0002-0000-0A00-000002000000}">
      <formula1>"doença,Questões de saúde,Evasão escolar,Mudança de domicílio,Dificuldade de acesso/transporte,Outros"</formula1>
    </dataValidation>
    <dataValidation type="list" allowBlank="1" sqref="M8:M22" xr:uid="{00000000-0002-0000-0A00-000003000000}">
      <formula1>"PESSOALMENTE,TELEFONE,WHATSAPP,VISITA DOMICILIAR,OUTRO"</formula1>
    </dataValidation>
    <dataValidation type="list" allowBlank="1" sqref="O8:O22" xr:uid="{00000000-0002-0000-0A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127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128</v>
      </c>
      <c r="E4" s="1" t="s">
        <v>129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26116057</v>
      </c>
      <c r="C8" s="6" t="s">
        <v>99</v>
      </c>
      <c r="D8" s="5" t="s">
        <v>18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26116057</v>
      </c>
      <c r="C9" s="10" t="s">
        <v>99</v>
      </c>
      <c r="D9" s="9" t="s">
        <v>18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26116057</v>
      </c>
      <c r="C10" s="6" t="s">
        <v>99</v>
      </c>
      <c r="D10" s="5" t="s">
        <v>18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26116057</v>
      </c>
      <c r="C11" s="10" t="s">
        <v>99</v>
      </c>
      <c r="D11" s="9" t="s">
        <v>18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26116057</v>
      </c>
      <c r="C12" s="6" t="s">
        <v>99</v>
      </c>
      <c r="D12" s="5" t="s">
        <v>18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26116057</v>
      </c>
      <c r="C13" s="10" t="s">
        <v>99</v>
      </c>
      <c r="D13" s="9" t="s">
        <v>18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26116057</v>
      </c>
      <c r="C14" s="6" t="s">
        <v>99</v>
      </c>
      <c r="D14" s="5" t="s">
        <v>18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26116057</v>
      </c>
      <c r="C15" s="10" t="s">
        <v>99</v>
      </c>
      <c r="D15" s="9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26116057</v>
      </c>
      <c r="C16" s="6" t="s">
        <v>99</v>
      </c>
      <c r="D16" s="5" t="s">
        <v>18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26116057</v>
      </c>
      <c r="C17" s="10" t="s">
        <v>99</v>
      </c>
      <c r="D17" s="9" t="s">
        <v>18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26116057</v>
      </c>
      <c r="C18" s="6" t="s">
        <v>99</v>
      </c>
      <c r="D18" s="5" t="s">
        <v>18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26116057</v>
      </c>
      <c r="C19" s="10" t="s">
        <v>99</v>
      </c>
      <c r="D19" s="9" t="s">
        <v>18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26116057</v>
      </c>
      <c r="C20" s="6" t="s">
        <v>99</v>
      </c>
      <c r="D20" s="5" t="s">
        <v>18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26116057</v>
      </c>
      <c r="C21" s="10" t="s">
        <v>99</v>
      </c>
      <c r="D21" s="9" t="s">
        <v>18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26116057</v>
      </c>
      <c r="C22" s="6" t="s">
        <v>99</v>
      </c>
      <c r="D22" s="5" t="s">
        <v>18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B00-000000000000}">
      <formula1>"SIM,NÃO"</formula1>
    </dataValidation>
    <dataValidation type="list" allowBlank="1" sqref="J8:J22" xr:uid="{00000000-0002-0000-0B00-000001000000}">
      <formula1>"JANEIRO,FEVEREIRO,MARÇO,ABRIL,MAIO,JUNHO,JULHO,AGOSTO,SETEMBRO,OUTUBRO,NOVEMBRO,DEZEMBRO"</formula1>
    </dataValidation>
    <dataValidation type="list" allowBlank="1" sqref="L8:L22" xr:uid="{00000000-0002-0000-0B00-000002000000}">
      <formula1>"doença,Questões de saúde,Evasão escolar,Mudança de domicílio,Dificuldade de acesso/transporte,Outros"</formula1>
    </dataValidation>
    <dataValidation type="list" allowBlank="1" sqref="M8:M22" xr:uid="{00000000-0002-0000-0B00-000003000000}">
      <formula1>"PESSOALMENTE,TELEFONE,WHATSAPP,VISITA DOMICILIAR,OUTRO"</formula1>
    </dataValidation>
    <dataValidation type="list" allowBlank="1" sqref="O8:O22" xr:uid="{00000000-0002-0000-0B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130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131</v>
      </c>
      <c r="E4" s="1" t="s">
        <v>132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26116162</v>
      </c>
      <c r="C8" s="6" t="s">
        <v>99</v>
      </c>
      <c r="D8" s="5" t="s">
        <v>19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26116162</v>
      </c>
      <c r="C9" s="10" t="s">
        <v>99</v>
      </c>
      <c r="D9" s="9" t="s">
        <v>19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26116162</v>
      </c>
      <c r="C10" s="6" t="s">
        <v>99</v>
      </c>
      <c r="D10" s="5" t="s">
        <v>19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26116162</v>
      </c>
      <c r="C11" s="10" t="s">
        <v>99</v>
      </c>
      <c r="D11" s="9" t="s">
        <v>19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26116162</v>
      </c>
      <c r="C12" s="6" t="s">
        <v>99</v>
      </c>
      <c r="D12" s="5" t="s">
        <v>19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26116162</v>
      </c>
      <c r="C13" s="10" t="s">
        <v>99</v>
      </c>
      <c r="D13" s="9" t="s">
        <v>19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26116162</v>
      </c>
      <c r="C14" s="6" t="s">
        <v>99</v>
      </c>
      <c r="D14" s="5" t="s">
        <v>19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26116162</v>
      </c>
      <c r="C15" s="10" t="s">
        <v>99</v>
      </c>
      <c r="D15" s="9" t="s">
        <v>19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26116162</v>
      </c>
      <c r="C16" s="6" t="s">
        <v>99</v>
      </c>
      <c r="D16" s="5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26116162</v>
      </c>
      <c r="C17" s="10" t="s">
        <v>99</v>
      </c>
      <c r="D17" s="9" t="s">
        <v>19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26116162</v>
      </c>
      <c r="C18" s="6" t="s">
        <v>99</v>
      </c>
      <c r="D18" s="5" t="s">
        <v>19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26116162</v>
      </c>
      <c r="C19" s="10" t="s">
        <v>99</v>
      </c>
      <c r="D19" s="9" t="s">
        <v>19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26116162</v>
      </c>
      <c r="C20" s="6" t="s">
        <v>99</v>
      </c>
      <c r="D20" s="5" t="s">
        <v>19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26116162</v>
      </c>
      <c r="C21" s="10" t="s">
        <v>99</v>
      </c>
      <c r="D21" s="9" t="s">
        <v>19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26116162</v>
      </c>
      <c r="C22" s="6" t="s">
        <v>99</v>
      </c>
      <c r="D22" s="5" t="s">
        <v>19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C00-000000000000}">
      <formula1>"SIM,NÃO"</formula1>
    </dataValidation>
    <dataValidation type="list" allowBlank="1" sqref="J8:J22" xr:uid="{00000000-0002-0000-0C00-000001000000}">
      <formula1>"JANEIRO,FEVEREIRO,MARÇO,ABRIL,MAIO,JUNHO,JULHO,AGOSTO,SETEMBRO,OUTUBRO,NOVEMBRO,DEZEMBRO"</formula1>
    </dataValidation>
    <dataValidation type="list" allowBlank="1" sqref="L8:L22" xr:uid="{00000000-0002-0000-0C00-000002000000}">
      <formula1>"doença,Questões de saúde,Evasão escolar,Mudança de domicílio,Dificuldade de acesso/transporte,Outros"</formula1>
    </dataValidation>
    <dataValidation type="list" allowBlank="1" sqref="M8:M22" xr:uid="{00000000-0002-0000-0C00-000003000000}">
      <formula1>"PESSOALMENTE,TELEFONE,WHATSAPP,VISITA DOMICILIAR,OUTRO"</formula1>
    </dataValidation>
    <dataValidation type="list" allowBlank="1" sqref="O8:O22" xr:uid="{00000000-0002-0000-0C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133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134</v>
      </c>
      <c r="E4" s="1" t="s">
        <v>135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26116510</v>
      </c>
      <c r="C8" s="6" t="s">
        <v>99</v>
      </c>
      <c r="D8" s="5" t="s">
        <v>20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26116510</v>
      </c>
      <c r="C9" s="10" t="s">
        <v>99</v>
      </c>
      <c r="D9" s="9" t="s">
        <v>20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26116510</v>
      </c>
      <c r="C10" s="6" t="s">
        <v>99</v>
      </c>
      <c r="D10" s="5" t="s">
        <v>20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26116510</v>
      </c>
      <c r="C11" s="10" t="s">
        <v>99</v>
      </c>
      <c r="D11" s="9" t="s">
        <v>20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26116510</v>
      </c>
      <c r="C12" s="6" t="s">
        <v>99</v>
      </c>
      <c r="D12" s="5" t="s">
        <v>20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26116510</v>
      </c>
      <c r="C13" s="10" t="s">
        <v>99</v>
      </c>
      <c r="D13" s="9" t="s">
        <v>20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26116510</v>
      </c>
      <c r="C14" s="6" t="s">
        <v>99</v>
      </c>
      <c r="D14" s="5" t="s">
        <v>20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26116510</v>
      </c>
      <c r="C15" s="10" t="s">
        <v>99</v>
      </c>
      <c r="D15" s="9" t="s">
        <v>20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26116510</v>
      </c>
      <c r="C16" s="6" t="s">
        <v>99</v>
      </c>
      <c r="D16" s="5" t="s">
        <v>20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26116510</v>
      </c>
      <c r="C17" s="10" t="s">
        <v>99</v>
      </c>
      <c r="D17" s="9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26116510</v>
      </c>
      <c r="C18" s="6" t="s">
        <v>99</v>
      </c>
      <c r="D18" s="5" t="s">
        <v>20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26116510</v>
      </c>
      <c r="C19" s="10" t="s">
        <v>99</v>
      </c>
      <c r="D19" s="9" t="s">
        <v>20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26116510</v>
      </c>
      <c r="C20" s="6" t="s">
        <v>99</v>
      </c>
      <c r="D20" s="5" t="s">
        <v>20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26116510</v>
      </c>
      <c r="C21" s="10" t="s">
        <v>99</v>
      </c>
      <c r="D21" s="9" t="s">
        <v>20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26116510</v>
      </c>
      <c r="C22" s="6" t="s">
        <v>99</v>
      </c>
      <c r="D22" s="5" t="s">
        <v>20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D00-000000000000}">
      <formula1>"SIM,NÃO"</formula1>
    </dataValidation>
    <dataValidation type="list" allowBlank="1" sqref="J8:J22" xr:uid="{00000000-0002-0000-0D00-000001000000}">
      <formula1>"JANEIRO,FEVEREIRO,MARÇO,ABRIL,MAIO,JUNHO,JULHO,AGOSTO,SETEMBRO,OUTUBRO,NOVEMBRO,DEZEMBRO"</formula1>
    </dataValidation>
    <dataValidation type="list" allowBlank="1" sqref="L8:L22" xr:uid="{00000000-0002-0000-0D00-000002000000}">
      <formula1>"doença,Questões de saúde,Evasão escolar,Mudança de domicílio,Dificuldade de acesso/transporte,Outros"</formula1>
    </dataValidation>
    <dataValidation type="list" allowBlank="1" sqref="M8:M22" xr:uid="{00000000-0002-0000-0D00-000003000000}">
      <formula1>"PESSOALMENTE,TELEFONE,WHATSAPP,VISITA DOMICILIAR,OUTRO"</formula1>
    </dataValidation>
    <dataValidation type="list" allowBlank="1" sqref="O8:O22" xr:uid="{00000000-0002-0000-0D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136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137</v>
      </c>
      <c r="E4" s="1" t="s">
        <v>138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26136549</v>
      </c>
      <c r="C8" s="6" t="s">
        <v>99</v>
      </c>
      <c r="D8" s="5" t="s">
        <v>21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26136549</v>
      </c>
      <c r="C9" s="10" t="s">
        <v>99</v>
      </c>
      <c r="D9" s="9" t="s">
        <v>21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26136549</v>
      </c>
      <c r="C10" s="6" t="s">
        <v>99</v>
      </c>
      <c r="D10" s="5" t="s">
        <v>21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26136549</v>
      </c>
      <c r="C11" s="10" t="s">
        <v>99</v>
      </c>
      <c r="D11" s="9" t="s">
        <v>21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26136549</v>
      </c>
      <c r="C12" s="6" t="s">
        <v>99</v>
      </c>
      <c r="D12" s="5" t="s">
        <v>21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26136549</v>
      </c>
      <c r="C13" s="10" t="s">
        <v>99</v>
      </c>
      <c r="D13" s="9" t="s">
        <v>21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26136549</v>
      </c>
      <c r="C14" s="6" t="s">
        <v>99</v>
      </c>
      <c r="D14" s="5" t="s">
        <v>21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26136549</v>
      </c>
      <c r="C15" s="10" t="s">
        <v>99</v>
      </c>
      <c r="D15" s="9" t="s">
        <v>21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26136549</v>
      </c>
      <c r="C16" s="6" t="s">
        <v>99</v>
      </c>
      <c r="D16" s="5" t="s">
        <v>21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26136549</v>
      </c>
      <c r="C17" s="10" t="s">
        <v>99</v>
      </c>
      <c r="D17" s="9" t="s">
        <v>21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26136549</v>
      </c>
      <c r="C18" s="6" t="s">
        <v>99</v>
      </c>
      <c r="D18" s="5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26136549</v>
      </c>
      <c r="C19" s="10" t="s">
        <v>99</v>
      </c>
      <c r="D19" s="9" t="s">
        <v>21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26136549</v>
      </c>
      <c r="C20" s="6" t="s">
        <v>99</v>
      </c>
      <c r="D20" s="5" t="s">
        <v>21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26136549</v>
      </c>
      <c r="C21" s="10" t="s">
        <v>99</v>
      </c>
      <c r="D21" s="9" t="s">
        <v>21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26136549</v>
      </c>
      <c r="C22" s="6" t="s">
        <v>99</v>
      </c>
      <c r="D22" s="5" t="s">
        <v>21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E00-000000000000}">
      <formula1>"SIM,NÃO"</formula1>
    </dataValidation>
    <dataValidation type="list" allowBlank="1" sqref="J8:J22" xr:uid="{00000000-0002-0000-0E00-000001000000}">
      <formula1>"JANEIRO,FEVEREIRO,MARÇO,ABRIL,MAIO,JUNHO,JULHO,AGOSTO,SETEMBRO,OUTUBRO,NOVEMBRO,DEZEMBRO"</formula1>
    </dataValidation>
    <dataValidation type="list" allowBlank="1" sqref="L8:L22" xr:uid="{00000000-0002-0000-0E00-000002000000}">
      <formula1>"doença,Questões de saúde,Evasão escolar,Mudança de domicílio,Dificuldade de acesso/transporte,Outros"</formula1>
    </dataValidation>
    <dataValidation type="list" allowBlank="1" sqref="M8:M22" xr:uid="{00000000-0002-0000-0E00-000003000000}">
      <formula1>"PESSOALMENTE,TELEFONE,WHATSAPP,VISITA DOMICILIAR,OUTRO"</formula1>
    </dataValidation>
    <dataValidation type="list" allowBlank="1" sqref="O8:O22" xr:uid="{00000000-0002-0000-0E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139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140</v>
      </c>
      <c r="E4" s="1" t="s">
        <v>141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26116197</v>
      </c>
      <c r="C8" s="6" t="s">
        <v>99</v>
      </c>
      <c r="D8" s="5" t="s">
        <v>22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26116197</v>
      </c>
      <c r="C9" s="10" t="s">
        <v>99</v>
      </c>
      <c r="D9" s="9" t="s">
        <v>22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26116197</v>
      </c>
      <c r="C10" s="6" t="s">
        <v>99</v>
      </c>
      <c r="D10" s="5" t="s">
        <v>22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26116197</v>
      </c>
      <c r="C11" s="10" t="s">
        <v>99</v>
      </c>
      <c r="D11" s="9" t="s">
        <v>22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26116197</v>
      </c>
      <c r="C12" s="6" t="s">
        <v>99</v>
      </c>
      <c r="D12" s="5" t="s">
        <v>22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26116197</v>
      </c>
      <c r="C13" s="10" t="s">
        <v>99</v>
      </c>
      <c r="D13" s="9" t="s">
        <v>22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26116197</v>
      </c>
      <c r="C14" s="6" t="s">
        <v>99</v>
      </c>
      <c r="D14" s="5" t="s">
        <v>22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26116197</v>
      </c>
      <c r="C15" s="10" t="s">
        <v>99</v>
      </c>
      <c r="D15" s="9" t="s">
        <v>22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26116197</v>
      </c>
      <c r="C16" s="6" t="s">
        <v>99</v>
      </c>
      <c r="D16" s="5" t="s">
        <v>22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26116197</v>
      </c>
      <c r="C17" s="10" t="s">
        <v>99</v>
      </c>
      <c r="D17" s="9" t="s">
        <v>22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26116197</v>
      </c>
      <c r="C18" s="6" t="s">
        <v>99</v>
      </c>
      <c r="D18" s="5" t="s">
        <v>22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26116197</v>
      </c>
      <c r="C19" s="10" t="s">
        <v>99</v>
      </c>
      <c r="D19" s="9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26116197</v>
      </c>
      <c r="C20" s="6" t="s">
        <v>99</v>
      </c>
      <c r="D20" s="5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26116197</v>
      </c>
      <c r="C21" s="10" t="s">
        <v>99</v>
      </c>
      <c r="D21" s="9" t="s">
        <v>22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26116197</v>
      </c>
      <c r="C22" s="6" t="s">
        <v>99</v>
      </c>
      <c r="D22" s="5" t="s">
        <v>22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0F00-000000000000}">
      <formula1>"SIM,NÃO"</formula1>
    </dataValidation>
    <dataValidation type="list" allowBlank="1" sqref="J8:J22" xr:uid="{00000000-0002-0000-0F00-000001000000}">
      <formula1>"JANEIRO,FEVEREIRO,MARÇO,ABRIL,MAIO,JUNHO,JULHO,AGOSTO,SETEMBRO,OUTUBRO,NOVEMBRO,DEZEMBRO"</formula1>
    </dataValidation>
    <dataValidation type="list" allowBlank="1" sqref="L8:L22" xr:uid="{00000000-0002-0000-0F00-000002000000}">
      <formula1>"doença,Questões de saúde,Evasão escolar,Mudança de domicílio,Dificuldade de acesso/transporte,Outros"</formula1>
    </dataValidation>
    <dataValidation type="list" allowBlank="1" sqref="M8:M22" xr:uid="{00000000-0002-0000-0F00-000003000000}">
      <formula1>"PESSOALMENTE,TELEFONE,WHATSAPP,VISITA DOMICILIAR,OUTRO"</formula1>
    </dataValidation>
    <dataValidation type="list" allowBlank="1" sqref="O8:O22" xr:uid="{00000000-0002-0000-0F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142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143</v>
      </c>
      <c r="E4" s="1" t="s">
        <v>144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26116766</v>
      </c>
      <c r="C8" s="6" t="s">
        <v>99</v>
      </c>
      <c r="D8" s="5" t="s">
        <v>23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26116766</v>
      </c>
      <c r="C9" s="10" t="s">
        <v>99</v>
      </c>
      <c r="D9" s="9" t="s">
        <v>23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26116766</v>
      </c>
      <c r="C10" s="6" t="s">
        <v>99</v>
      </c>
      <c r="D10" s="5" t="s">
        <v>23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26116766</v>
      </c>
      <c r="C11" s="10" t="s">
        <v>99</v>
      </c>
      <c r="D11" s="9" t="s">
        <v>23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26116766</v>
      </c>
      <c r="C12" s="6" t="s">
        <v>99</v>
      </c>
      <c r="D12" s="5" t="s">
        <v>23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26116766</v>
      </c>
      <c r="C13" s="10" t="s">
        <v>99</v>
      </c>
      <c r="D13" s="9" t="s">
        <v>23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26116766</v>
      </c>
      <c r="C14" s="6" t="s">
        <v>99</v>
      </c>
      <c r="D14" s="5" t="s">
        <v>23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26116766</v>
      </c>
      <c r="C15" s="10" t="s">
        <v>99</v>
      </c>
      <c r="D15" s="9" t="s">
        <v>23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26116766</v>
      </c>
      <c r="C16" s="6" t="s">
        <v>99</v>
      </c>
      <c r="D16" s="5" t="s">
        <v>23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26116766</v>
      </c>
      <c r="C17" s="10" t="s">
        <v>99</v>
      </c>
      <c r="D17" s="9" t="s">
        <v>23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26116766</v>
      </c>
      <c r="C18" s="6" t="s">
        <v>99</v>
      </c>
      <c r="D18" s="5" t="s">
        <v>23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26116766</v>
      </c>
      <c r="C19" s="10" t="s">
        <v>99</v>
      </c>
      <c r="D19" s="9" t="s">
        <v>23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26116766</v>
      </c>
      <c r="C20" s="6" t="s">
        <v>99</v>
      </c>
      <c r="D20" s="5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26116766</v>
      </c>
      <c r="C21" s="10" t="s">
        <v>99</v>
      </c>
      <c r="D21" s="9" t="s">
        <v>23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26116766</v>
      </c>
      <c r="C22" s="6" t="s">
        <v>99</v>
      </c>
      <c r="D22" s="5" t="s">
        <v>23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000-000000000000}">
      <formula1>"SIM,NÃO"</formula1>
    </dataValidation>
    <dataValidation type="list" allowBlank="1" sqref="J8:J22" xr:uid="{00000000-0002-0000-1000-000001000000}">
      <formula1>"JANEIRO,FEVEREIRO,MARÇO,ABRIL,MAIO,JUNHO,JULHO,AGOSTO,SETEMBRO,OUTUBRO,NOVEMBRO,DEZEMBRO"</formula1>
    </dataValidation>
    <dataValidation type="list" allowBlank="1" sqref="L8:L22" xr:uid="{00000000-0002-0000-1000-000002000000}">
      <formula1>"doença,Questões de saúde,Evasão escolar,Mudança de domicílio,Dificuldade de acesso/transporte,Outros"</formula1>
    </dataValidation>
    <dataValidation type="list" allowBlank="1" sqref="M8:M22" xr:uid="{00000000-0002-0000-1000-000003000000}">
      <formula1>"PESSOALMENTE,TELEFONE,WHATSAPP,VISITA DOMICILIAR,OUTRO"</formula1>
    </dataValidation>
    <dataValidation type="list" allowBlank="1" sqref="O8:O22" xr:uid="{00000000-0002-0000-10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145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146</v>
      </c>
      <c r="E4" s="1" t="s">
        <v>147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26116740</v>
      </c>
      <c r="C8" s="6" t="s">
        <v>99</v>
      </c>
      <c r="D8" s="5" t="s">
        <v>24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26116740</v>
      </c>
      <c r="C9" s="10" t="s">
        <v>99</v>
      </c>
      <c r="D9" s="9" t="s">
        <v>24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26116740</v>
      </c>
      <c r="C10" s="6" t="s">
        <v>99</v>
      </c>
      <c r="D10" s="5" t="s">
        <v>24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26116740</v>
      </c>
      <c r="C11" s="10" t="s">
        <v>99</v>
      </c>
      <c r="D11" s="9" t="s">
        <v>24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26116740</v>
      </c>
      <c r="C12" s="6" t="s">
        <v>99</v>
      </c>
      <c r="D12" s="5" t="s">
        <v>24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26116740</v>
      </c>
      <c r="C13" s="10" t="s">
        <v>99</v>
      </c>
      <c r="D13" s="9" t="s">
        <v>24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26116740</v>
      </c>
      <c r="C14" s="6" t="s">
        <v>99</v>
      </c>
      <c r="D14" s="5" t="s">
        <v>24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26116740</v>
      </c>
      <c r="C15" s="10" t="s">
        <v>99</v>
      </c>
      <c r="D15" s="9" t="s">
        <v>24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26116740</v>
      </c>
      <c r="C16" s="6" t="s">
        <v>99</v>
      </c>
      <c r="D16" s="5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26116740</v>
      </c>
      <c r="C17" s="10" t="s">
        <v>99</v>
      </c>
      <c r="D17" s="9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26116740</v>
      </c>
      <c r="C18" s="6" t="s">
        <v>99</v>
      </c>
      <c r="D18" s="5" t="s">
        <v>24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26116740</v>
      </c>
      <c r="C19" s="10" t="s">
        <v>99</v>
      </c>
      <c r="D19" s="9" t="s">
        <v>24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26116740</v>
      </c>
      <c r="C20" s="6" t="s">
        <v>99</v>
      </c>
      <c r="D20" s="5" t="s">
        <v>24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26116740</v>
      </c>
      <c r="C21" s="10" t="s">
        <v>99</v>
      </c>
      <c r="D21" s="9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26116740</v>
      </c>
      <c r="C22" s="6" t="s">
        <v>99</v>
      </c>
      <c r="D22" s="5" t="s">
        <v>24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100-000000000000}">
      <formula1>"SIM,NÃO"</formula1>
    </dataValidation>
    <dataValidation type="list" allowBlank="1" sqref="J8:J22" xr:uid="{00000000-0002-0000-1100-000001000000}">
      <formula1>"JANEIRO,FEVEREIRO,MARÇO,ABRIL,MAIO,JUNHO,JULHO,AGOSTO,SETEMBRO,OUTUBRO,NOVEMBRO,DEZEMBRO"</formula1>
    </dataValidation>
    <dataValidation type="list" allowBlank="1" sqref="L8:L22" xr:uid="{00000000-0002-0000-1100-000002000000}">
      <formula1>"doença,Questões de saúde,Evasão escolar,Mudança de domicílio,Dificuldade de acesso/transporte,Outros"</formula1>
    </dataValidation>
    <dataValidation type="list" allowBlank="1" sqref="M8:M22" xr:uid="{00000000-0002-0000-1100-000003000000}">
      <formula1>"PESSOALMENTE,TELEFONE,WHATSAPP,VISITA DOMICILIAR,OUTRO"</formula1>
    </dataValidation>
    <dataValidation type="list" allowBlank="1" sqref="O8:O22" xr:uid="{00000000-0002-0000-11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148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149</v>
      </c>
      <c r="E4" s="1" t="s">
        <v>150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26115700</v>
      </c>
      <c r="C8" s="6" t="s">
        <v>99</v>
      </c>
      <c r="D8" s="5" t="s">
        <v>25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26115700</v>
      </c>
      <c r="C9" s="10" t="s">
        <v>99</v>
      </c>
      <c r="D9" s="9" t="s">
        <v>25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26115700</v>
      </c>
      <c r="C10" s="6" t="s">
        <v>99</v>
      </c>
      <c r="D10" s="5" t="s">
        <v>25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26115700</v>
      </c>
      <c r="C11" s="10" t="s">
        <v>99</v>
      </c>
      <c r="D11" s="9" t="s">
        <v>25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26115700</v>
      </c>
      <c r="C12" s="6" t="s">
        <v>99</v>
      </c>
      <c r="D12" s="5" t="s">
        <v>25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26115700</v>
      </c>
      <c r="C13" s="10" t="s">
        <v>99</v>
      </c>
      <c r="D13" s="9" t="s">
        <v>25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26115700</v>
      </c>
      <c r="C14" s="6" t="s">
        <v>99</v>
      </c>
      <c r="D14" s="5" t="s">
        <v>25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26115700</v>
      </c>
      <c r="C15" s="10" t="s">
        <v>99</v>
      </c>
      <c r="D15" s="9" t="s">
        <v>25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26115700</v>
      </c>
      <c r="C16" s="6" t="s">
        <v>99</v>
      </c>
      <c r="D16" s="5" t="s">
        <v>25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26115700</v>
      </c>
      <c r="C17" s="10" t="s">
        <v>99</v>
      </c>
      <c r="D17" s="9" t="s">
        <v>25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26115700</v>
      </c>
      <c r="C18" s="6" t="s">
        <v>99</v>
      </c>
      <c r="D18" s="5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26115700</v>
      </c>
      <c r="C19" s="10" t="s">
        <v>99</v>
      </c>
      <c r="D19" s="9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26115700</v>
      </c>
      <c r="C20" s="6" t="s">
        <v>99</v>
      </c>
      <c r="D20" s="5" t="s">
        <v>25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26115700</v>
      </c>
      <c r="C21" s="10" t="s">
        <v>99</v>
      </c>
      <c r="D21" s="9" t="s">
        <v>25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26115700</v>
      </c>
      <c r="C22" s="6" t="s">
        <v>99</v>
      </c>
      <c r="D22" s="5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200-000000000000}">
      <formula1>"SIM,NÃO"</formula1>
    </dataValidation>
    <dataValidation type="list" allowBlank="1" sqref="J8:J22" xr:uid="{00000000-0002-0000-1200-000001000000}">
      <formula1>"JANEIRO,FEVEREIRO,MARÇO,ABRIL,MAIO,JUNHO,JULHO,AGOSTO,SETEMBRO,OUTUBRO,NOVEMBRO,DEZEMBRO"</formula1>
    </dataValidation>
    <dataValidation type="list" allowBlank="1" sqref="L8:L22" xr:uid="{00000000-0002-0000-1200-000002000000}">
      <formula1>"doença,Questões de saúde,Evasão escolar,Mudança de domicílio,Dificuldade de acesso/transporte,Outros"</formula1>
    </dataValidation>
    <dataValidation type="list" allowBlank="1" sqref="M8:M22" xr:uid="{00000000-0002-0000-1200-000003000000}">
      <formula1>"PESSOALMENTE,TELEFONE,WHATSAPP,VISITA DOMICILIAR,OUTRO"</formula1>
    </dataValidation>
    <dataValidation type="list" allowBlank="1" sqref="O8:O22" xr:uid="{00000000-0002-0000-12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151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152</v>
      </c>
      <c r="E4" s="1" t="s">
        <v>153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26116243</v>
      </c>
      <c r="C8" s="6" t="s">
        <v>99</v>
      </c>
      <c r="D8" s="5" t="s">
        <v>26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26116243</v>
      </c>
      <c r="C9" s="10" t="s">
        <v>99</v>
      </c>
      <c r="D9" s="9" t="s">
        <v>26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26116243</v>
      </c>
      <c r="C10" s="6" t="s">
        <v>99</v>
      </c>
      <c r="D10" s="5" t="s">
        <v>26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26116243</v>
      </c>
      <c r="C11" s="10" t="s">
        <v>99</v>
      </c>
      <c r="D11" s="9" t="s">
        <v>26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26116243</v>
      </c>
      <c r="C12" s="6" t="s">
        <v>99</v>
      </c>
      <c r="D12" s="5" t="s">
        <v>26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26116243</v>
      </c>
      <c r="C13" s="10" t="s">
        <v>99</v>
      </c>
      <c r="D13" s="9" t="s">
        <v>26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26116243</v>
      </c>
      <c r="C14" s="6" t="s">
        <v>99</v>
      </c>
      <c r="D14" s="5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26116243</v>
      </c>
      <c r="C15" s="10" t="s">
        <v>99</v>
      </c>
      <c r="D15" s="9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26116243</v>
      </c>
      <c r="C16" s="6" t="s">
        <v>99</v>
      </c>
      <c r="D16" s="5" t="s">
        <v>26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26116243</v>
      </c>
      <c r="C17" s="10" t="s">
        <v>99</v>
      </c>
      <c r="D17" s="9" t="s">
        <v>26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26116243</v>
      </c>
      <c r="C18" s="6" t="s">
        <v>99</v>
      </c>
      <c r="D18" s="5" t="s">
        <v>26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26116243</v>
      </c>
      <c r="C19" s="10" t="s">
        <v>99</v>
      </c>
      <c r="D19" s="9" t="s">
        <v>26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26116243</v>
      </c>
      <c r="C20" s="6" t="s">
        <v>99</v>
      </c>
      <c r="D20" s="5" t="s">
        <v>26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26116243</v>
      </c>
      <c r="C21" s="10" t="s">
        <v>99</v>
      </c>
      <c r="D21" s="9" t="s">
        <v>26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26116243</v>
      </c>
      <c r="C22" s="6" t="s">
        <v>99</v>
      </c>
      <c r="D22" s="5" t="s">
        <v>26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300-000000000000}">
      <formula1>"SIM,NÃO"</formula1>
    </dataValidation>
    <dataValidation type="list" allowBlank="1" sqref="J8:J22" xr:uid="{00000000-0002-0000-1300-000001000000}">
      <formula1>"JANEIRO,FEVEREIRO,MARÇO,ABRIL,MAIO,JUNHO,JULHO,AGOSTO,SETEMBRO,OUTUBRO,NOVEMBRO,DEZEMBRO"</formula1>
    </dataValidation>
    <dataValidation type="list" allowBlank="1" sqref="L8:L22" xr:uid="{00000000-0002-0000-1300-000002000000}">
      <formula1>"doença,Questões de saúde,Evasão escolar,Mudança de domicílio,Dificuldade de acesso/transporte,Outros"</formula1>
    </dataValidation>
    <dataValidation type="list" allowBlank="1" sqref="M8:M22" xr:uid="{00000000-0002-0000-1300-000003000000}">
      <formula1>"PESSOALMENTE,TELEFONE,WHATSAPP,VISITA DOMICILIAR,OUTRO"</formula1>
    </dataValidation>
    <dataValidation type="list" allowBlank="1" sqref="O8:O22" xr:uid="{00000000-0002-0000-13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154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155</v>
      </c>
      <c r="E4" s="1" t="s">
        <v>156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26188678</v>
      </c>
      <c r="C8" s="6" t="s">
        <v>99</v>
      </c>
      <c r="D8" s="5" t="s">
        <v>27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26188678</v>
      </c>
      <c r="C9" s="10" t="s">
        <v>99</v>
      </c>
      <c r="D9" s="9" t="s">
        <v>27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26188678</v>
      </c>
      <c r="C10" s="6" t="s">
        <v>99</v>
      </c>
      <c r="D10" s="5" t="s">
        <v>27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26188678</v>
      </c>
      <c r="C11" s="10" t="s">
        <v>99</v>
      </c>
      <c r="D11" s="9" t="s">
        <v>27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26188678</v>
      </c>
      <c r="C12" s="6" t="s">
        <v>99</v>
      </c>
      <c r="D12" s="5" t="s">
        <v>27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26188678</v>
      </c>
      <c r="C13" s="10" t="s">
        <v>99</v>
      </c>
      <c r="D13" s="9" t="s">
        <v>27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26188678</v>
      </c>
      <c r="C14" s="6" t="s">
        <v>99</v>
      </c>
      <c r="D14" s="5" t="s">
        <v>27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26188678</v>
      </c>
      <c r="C15" s="10" t="s">
        <v>99</v>
      </c>
      <c r="D15" s="9" t="s">
        <v>27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26188678</v>
      </c>
      <c r="C16" s="6" t="s">
        <v>99</v>
      </c>
      <c r="D16" s="5" t="s">
        <v>27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26188678</v>
      </c>
      <c r="C17" s="10" t="s">
        <v>99</v>
      </c>
      <c r="D17" s="9" t="s">
        <v>27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26188678</v>
      </c>
      <c r="C18" s="6" t="s">
        <v>99</v>
      </c>
      <c r="D18" s="5" t="s">
        <v>27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26188678</v>
      </c>
      <c r="C19" s="10" t="s">
        <v>99</v>
      </c>
      <c r="D19" s="9" t="s">
        <v>27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26188678</v>
      </c>
      <c r="C20" s="6" t="s">
        <v>99</v>
      </c>
      <c r="D20" s="5" t="s">
        <v>27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26188678</v>
      </c>
      <c r="C21" s="10" t="s">
        <v>99</v>
      </c>
      <c r="D21" s="9" t="s">
        <v>27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26188678</v>
      </c>
      <c r="C22" s="6" t="s">
        <v>99</v>
      </c>
      <c r="D22" s="5" t="s">
        <v>27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400-000000000000}">
      <formula1>"SIM,NÃO"</formula1>
    </dataValidation>
    <dataValidation type="list" allowBlank="1" sqref="J8:J22" xr:uid="{00000000-0002-0000-1400-000001000000}">
      <formula1>"JANEIRO,FEVEREIRO,MARÇO,ABRIL,MAIO,JUNHO,JULHO,AGOSTO,SETEMBRO,OUTUBRO,NOVEMBRO,DEZEMBRO"</formula1>
    </dataValidation>
    <dataValidation type="list" allowBlank="1" sqref="L8:L22" xr:uid="{00000000-0002-0000-1400-000002000000}">
      <formula1>"doença,Questões de saúde,Evasão escolar,Mudança de domicílio,Dificuldade de acesso/transporte,Outros"</formula1>
    </dataValidation>
    <dataValidation type="list" allowBlank="1" sqref="M8:M22" xr:uid="{00000000-0002-0000-1400-000003000000}">
      <formula1>"PESSOALMENTE,TELEFONE,WHATSAPP,VISITA DOMICILIAR,OUTRO"</formula1>
    </dataValidation>
    <dataValidation type="list" allowBlank="1" sqref="O8:O22" xr:uid="{00000000-0002-0000-14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157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158</v>
      </c>
      <c r="E4" s="1" t="s">
        <v>159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26188686</v>
      </c>
      <c r="C8" s="6" t="s">
        <v>99</v>
      </c>
      <c r="D8" s="5" t="s">
        <v>28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26188686</v>
      </c>
      <c r="C9" s="10" t="s">
        <v>99</v>
      </c>
      <c r="D9" s="9" t="s">
        <v>28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26188686</v>
      </c>
      <c r="C10" s="6" t="s">
        <v>99</v>
      </c>
      <c r="D10" s="5" t="s">
        <v>28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26188686</v>
      </c>
      <c r="C11" s="10" t="s">
        <v>99</v>
      </c>
      <c r="D11" s="9" t="s">
        <v>28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26188686</v>
      </c>
      <c r="C12" s="6" t="s">
        <v>99</v>
      </c>
      <c r="D12" s="5" t="s">
        <v>28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26188686</v>
      </c>
      <c r="C13" s="10" t="s">
        <v>99</v>
      </c>
      <c r="D13" s="9" t="s">
        <v>28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26188686</v>
      </c>
      <c r="C14" s="6" t="s">
        <v>99</v>
      </c>
      <c r="D14" s="5" t="s">
        <v>28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26188686</v>
      </c>
      <c r="C15" s="10" t="s">
        <v>99</v>
      </c>
      <c r="D15" s="9" t="s">
        <v>28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26188686</v>
      </c>
      <c r="C16" s="6" t="s">
        <v>99</v>
      </c>
      <c r="D16" s="5" t="s">
        <v>28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26188686</v>
      </c>
      <c r="C17" s="10" t="s">
        <v>99</v>
      </c>
      <c r="D17" s="9" t="s">
        <v>28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26188686</v>
      </c>
      <c r="C18" s="6" t="s">
        <v>99</v>
      </c>
      <c r="D18" s="5" t="s">
        <v>28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26188686</v>
      </c>
      <c r="C19" s="10" t="s">
        <v>99</v>
      </c>
      <c r="D19" s="9" t="s">
        <v>28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26188686</v>
      </c>
      <c r="C20" s="6" t="s">
        <v>99</v>
      </c>
      <c r="D20" s="5" t="s">
        <v>28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26188686</v>
      </c>
      <c r="C21" s="10" t="s">
        <v>99</v>
      </c>
      <c r="D21" s="9" t="s">
        <v>28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26188686</v>
      </c>
      <c r="C22" s="6" t="s">
        <v>99</v>
      </c>
      <c r="D22" s="5" t="s">
        <v>28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500-000000000000}">
      <formula1>"SIM,NÃO"</formula1>
    </dataValidation>
    <dataValidation type="list" allowBlank="1" sqref="J8:J22" xr:uid="{00000000-0002-0000-1500-000001000000}">
      <formula1>"JANEIRO,FEVEREIRO,MARÇO,ABRIL,MAIO,JUNHO,JULHO,AGOSTO,SETEMBRO,OUTUBRO,NOVEMBRO,DEZEMBRO"</formula1>
    </dataValidation>
    <dataValidation type="list" allowBlank="1" sqref="L8:L22" xr:uid="{00000000-0002-0000-1500-000002000000}">
      <formula1>"doença,Questões de saúde,Evasão escolar,Mudança de domicílio,Dificuldade de acesso/transporte,Outros"</formula1>
    </dataValidation>
    <dataValidation type="list" allowBlank="1" sqref="M8:M22" xr:uid="{00000000-0002-0000-1500-000003000000}">
      <formula1>"PESSOALMENTE,TELEFONE,WHATSAPP,VISITA DOMICILIAR,OUTRO"</formula1>
    </dataValidation>
    <dataValidation type="list" allowBlank="1" sqref="O8:O22" xr:uid="{00000000-0002-0000-15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160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161</v>
      </c>
      <c r="E4" s="1" t="s">
        <v>162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26188694</v>
      </c>
      <c r="C8" s="6" t="s">
        <v>99</v>
      </c>
      <c r="D8" s="5" t="s">
        <v>29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26188694</v>
      </c>
      <c r="C9" s="10" t="s">
        <v>99</v>
      </c>
      <c r="D9" s="9" t="s">
        <v>29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26188694</v>
      </c>
      <c r="C10" s="6" t="s">
        <v>99</v>
      </c>
      <c r="D10" s="5" t="s">
        <v>29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26188694</v>
      </c>
      <c r="C11" s="10" t="s">
        <v>99</v>
      </c>
      <c r="D11" s="9" t="s">
        <v>29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26188694</v>
      </c>
      <c r="C12" s="6" t="s">
        <v>99</v>
      </c>
      <c r="D12" s="5" t="s">
        <v>29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26188694</v>
      </c>
      <c r="C13" s="10" t="s">
        <v>99</v>
      </c>
      <c r="D13" s="9" t="s">
        <v>29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26188694</v>
      </c>
      <c r="C14" s="6" t="s">
        <v>99</v>
      </c>
      <c r="D14" s="5" t="s">
        <v>29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26188694</v>
      </c>
      <c r="C15" s="10" t="s">
        <v>99</v>
      </c>
      <c r="D15" s="9" t="s">
        <v>29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26188694</v>
      </c>
      <c r="C16" s="6" t="s">
        <v>99</v>
      </c>
      <c r="D16" s="5" t="s">
        <v>29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26188694</v>
      </c>
      <c r="C17" s="10" t="s">
        <v>99</v>
      </c>
      <c r="D17" s="9" t="s">
        <v>29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26188694</v>
      </c>
      <c r="C18" s="6" t="s">
        <v>99</v>
      </c>
      <c r="D18" s="5" t="s">
        <v>29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26188694</v>
      </c>
      <c r="C19" s="10" t="s">
        <v>99</v>
      </c>
      <c r="D19" s="9" t="s">
        <v>29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26188694</v>
      </c>
      <c r="C20" s="6" t="s">
        <v>99</v>
      </c>
      <c r="D20" s="5" t="s">
        <v>29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26188694</v>
      </c>
      <c r="C21" s="10" t="s">
        <v>99</v>
      </c>
      <c r="D21" s="9" t="s">
        <v>29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26188694</v>
      </c>
      <c r="C22" s="6" t="s">
        <v>99</v>
      </c>
      <c r="D22" s="5" t="s">
        <v>29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600-000000000000}">
      <formula1>"SIM,NÃO"</formula1>
    </dataValidation>
    <dataValidation type="list" allowBlank="1" sqref="J8:J22" xr:uid="{00000000-0002-0000-1600-000001000000}">
      <formula1>"JANEIRO,FEVEREIRO,MARÇO,ABRIL,MAIO,JUNHO,JULHO,AGOSTO,SETEMBRO,OUTUBRO,NOVEMBRO,DEZEMBRO"</formula1>
    </dataValidation>
    <dataValidation type="list" allowBlank="1" sqref="L8:L22" xr:uid="{00000000-0002-0000-1600-000002000000}">
      <formula1>"doença,Questões de saúde,Evasão escolar,Mudança de domicílio,Dificuldade de acesso/transporte,Outros"</formula1>
    </dataValidation>
    <dataValidation type="list" allowBlank="1" sqref="M8:M22" xr:uid="{00000000-0002-0000-1600-000003000000}">
      <formula1>"PESSOALMENTE,TELEFONE,WHATSAPP,VISITA DOMICILIAR,OUTRO"</formula1>
    </dataValidation>
    <dataValidation type="list" allowBlank="1" sqref="O8:O22" xr:uid="{00000000-0002-0000-16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163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164</v>
      </c>
      <c r="E4" s="1" t="s">
        <v>165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26116286</v>
      </c>
      <c r="C8" s="6" t="s">
        <v>99</v>
      </c>
      <c r="D8" s="5" t="s">
        <v>30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26116286</v>
      </c>
      <c r="C9" s="10" t="s">
        <v>99</v>
      </c>
      <c r="D9" s="9" t="s">
        <v>30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26116286</v>
      </c>
      <c r="C10" s="6" t="s">
        <v>99</v>
      </c>
      <c r="D10" s="5" t="s">
        <v>30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26116286</v>
      </c>
      <c r="C11" s="10" t="s">
        <v>99</v>
      </c>
      <c r="D11" s="9" t="s">
        <v>30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26116286</v>
      </c>
      <c r="C12" s="6" t="s">
        <v>99</v>
      </c>
      <c r="D12" s="5" t="s">
        <v>30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26116286</v>
      </c>
      <c r="C13" s="10" t="s">
        <v>99</v>
      </c>
      <c r="D13" s="9" t="s">
        <v>30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26116286</v>
      </c>
      <c r="C14" s="6" t="s">
        <v>99</v>
      </c>
      <c r="D14" s="5" t="s">
        <v>30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26116286</v>
      </c>
      <c r="C15" s="10" t="s">
        <v>99</v>
      </c>
      <c r="D15" s="9" t="s">
        <v>30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26116286</v>
      </c>
      <c r="C16" s="6" t="s">
        <v>99</v>
      </c>
      <c r="D16" s="5" t="s">
        <v>30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26116286</v>
      </c>
      <c r="C17" s="10" t="s">
        <v>99</v>
      </c>
      <c r="D17" s="9" t="s">
        <v>30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26116286</v>
      </c>
      <c r="C18" s="6" t="s">
        <v>99</v>
      </c>
      <c r="D18" s="5" t="s">
        <v>30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26116286</v>
      </c>
      <c r="C19" s="10" t="s">
        <v>99</v>
      </c>
      <c r="D19" s="9" t="s">
        <v>30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26116286</v>
      </c>
      <c r="C20" s="6" t="s">
        <v>99</v>
      </c>
      <c r="D20" s="5" t="s">
        <v>30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26116286</v>
      </c>
      <c r="C21" s="10" t="s">
        <v>99</v>
      </c>
      <c r="D21" s="9" t="s">
        <v>30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26116286</v>
      </c>
      <c r="C22" s="6" t="s">
        <v>99</v>
      </c>
      <c r="D22" s="5" t="s">
        <v>30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700-000000000000}">
      <formula1>"SIM,NÃO"</formula1>
    </dataValidation>
    <dataValidation type="list" allowBlank="1" sqref="J8:J22" xr:uid="{00000000-0002-0000-1700-000001000000}">
      <formula1>"JANEIRO,FEVEREIRO,MARÇO,ABRIL,MAIO,JUNHO,JULHO,AGOSTO,SETEMBRO,OUTUBRO,NOVEMBRO,DEZEMBRO"</formula1>
    </dataValidation>
    <dataValidation type="list" allowBlank="1" sqref="L8:L22" xr:uid="{00000000-0002-0000-1700-000002000000}">
      <formula1>"doença,Questões de saúde,Evasão escolar,Mudança de domicílio,Dificuldade de acesso/transporte,Outros"</formula1>
    </dataValidation>
    <dataValidation type="list" allowBlank="1" sqref="M8:M22" xr:uid="{00000000-0002-0000-1700-000003000000}">
      <formula1>"PESSOALMENTE,TELEFONE,WHATSAPP,VISITA DOMICILIAR,OUTRO"</formula1>
    </dataValidation>
    <dataValidation type="list" allowBlank="1" sqref="O8:O22" xr:uid="{00000000-0002-0000-17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166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167</v>
      </c>
      <c r="E4" s="1" t="s">
        <v>168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26194139</v>
      </c>
      <c r="C8" s="6" t="s">
        <v>99</v>
      </c>
      <c r="D8" s="5" t="s">
        <v>31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26194139</v>
      </c>
      <c r="C9" s="10" t="s">
        <v>99</v>
      </c>
      <c r="D9" s="9" t="s">
        <v>31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26194139</v>
      </c>
      <c r="C10" s="6" t="s">
        <v>99</v>
      </c>
      <c r="D10" s="5" t="s">
        <v>31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26194139</v>
      </c>
      <c r="C11" s="10" t="s">
        <v>99</v>
      </c>
      <c r="D11" s="9" t="s">
        <v>31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26194139</v>
      </c>
      <c r="C12" s="6" t="s">
        <v>99</v>
      </c>
      <c r="D12" s="5" t="s">
        <v>31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26194139</v>
      </c>
      <c r="C13" s="10" t="s">
        <v>99</v>
      </c>
      <c r="D13" s="9" t="s">
        <v>31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26194139</v>
      </c>
      <c r="C14" s="6" t="s">
        <v>99</v>
      </c>
      <c r="D14" s="5" t="s">
        <v>31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26194139</v>
      </c>
      <c r="C15" s="10" t="s">
        <v>99</v>
      </c>
      <c r="D15" s="9" t="s">
        <v>31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26194139</v>
      </c>
      <c r="C16" s="6" t="s">
        <v>99</v>
      </c>
      <c r="D16" s="5" t="s">
        <v>31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26194139</v>
      </c>
      <c r="C17" s="10" t="s">
        <v>99</v>
      </c>
      <c r="D17" s="9" t="s">
        <v>31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26194139</v>
      </c>
      <c r="C18" s="6" t="s">
        <v>99</v>
      </c>
      <c r="D18" s="5" t="s">
        <v>31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26194139</v>
      </c>
      <c r="C19" s="10" t="s">
        <v>99</v>
      </c>
      <c r="D19" s="9" t="s">
        <v>31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26194139</v>
      </c>
      <c r="C20" s="6" t="s">
        <v>99</v>
      </c>
      <c r="D20" s="5" t="s">
        <v>31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26194139</v>
      </c>
      <c r="C21" s="10" t="s">
        <v>99</v>
      </c>
      <c r="D21" s="9" t="s">
        <v>31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26194139</v>
      </c>
      <c r="C22" s="6" t="s">
        <v>99</v>
      </c>
      <c r="D22" s="5" t="s">
        <v>31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800-000000000000}">
      <formula1>"SIM,NÃO"</formula1>
    </dataValidation>
    <dataValidation type="list" allowBlank="1" sqref="J8:J22" xr:uid="{00000000-0002-0000-1800-000001000000}">
      <formula1>"JANEIRO,FEVEREIRO,MARÇO,ABRIL,MAIO,JUNHO,JULHO,AGOSTO,SETEMBRO,OUTUBRO,NOVEMBRO,DEZEMBRO"</formula1>
    </dataValidation>
    <dataValidation type="list" allowBlank="1" sqref="L8:L22" xr:uid="{00000000-0002-0000-1800-000002000000}">
      <formula1>"doença,Questões de saúde,Evasão escolar,Mudança de domicílio,Dificuldade de acesso/transporte,Outros"</formula1>
    </dataValidation>
    <dataValidation type="list" allowBlank="1" sqref="M8:M22" xr:uid="{00000000-0002-0000-1800-000003000000}">
      <formula1>"PESSOALMENTE,TELEFONE,WHATSAPP,VISITA DOMICILIAR,OUTRO"</formula1>
    </dataValidation>
    <dataValidation type="list" allowBlank="1" sqref="O8:O22" xr:uid="{00000000-0002-0000-18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169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170</v>
      </c>
      <c r="E4" s="1" t="s">
        <v>171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26116804</v>
      </c>
      <c r="C8" s="6" t="s">
        <v>99</v>
      </c>
      <c r="D8" s="5" t="s">
        <v>32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26116804</v>
      </c>
      <c r="C9" s="10" t="s">
        <v>99</v>
      </c>
      <c r="D9" s="9" t="s">
        <v>32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26116804</v>
      </c>
      <c r="C10" s="6" t="s">
        <v>99</v>
      </c>
      <c r="D10" s="5" t="s">
        <v>32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26116804</v>
      </c>
      <c r="C11" s="10" t="s">
        <v>99</v>
      </c>
      <c r="D11" s="9" t="s">
        <v>32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26116804</v>
      </c>
      <c r="C12" s="6" t="s">
        <v>99</v>
      </c>
      <c r="D12" s="5" t="s">
        <v>32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26116804</v>
      </c>
      <c r="C13" s="10" t="s">
        <v>99</v>
      </c>
      <c r="D13" s="9" t="s">
        <v>32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26116804</v>
      </c>
      <c r="C14" s="6" t="s">
        <v>99</v>
      </c>
      <c r="D14" s="5" t="s">
        <v>32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26116804</v>
      </c>
      <c r="C15" s="10" t="s">
        <v>99</v>
      </c>
      <c r="D15" s="9" t="s">
        <v>32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26116804</v>
      </c>
      <c r="C16" s="6" t="s">
        <v>99</v>
      </c>
      <c r="D16" s="5" t="s">
        <v>32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26116804</v>
      </c>
      <c r="C17" s="10" t="s">
        <v>99</v>
      </c>
      <c r="D17" s="9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26116804</v>
      </c>
      <c r="C18" s="6" t="s">
        <v>99</v>
      </c>
      <c r="D18" s="5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26116804</v>
      </c>
      <c r="C19" s="10" t="s">
        <v>99</v>
      </c>
      <c r="D19" s="9" t="s">
        <v>32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26116804</v>
      </c>
      <c r="C20" s="6" t="s">
        <v>99</v>
      </c>
      <c r="D20" s="5" t="s">
        <v>32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26116804</v>
      </c>
      <c r="C21" s="10" t="s">
        <v>99</v>
      </c>
      <c r="D21" s="9" t="s">
        <v>32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26116804</v>
      </c>
      <c r="C22" s="6" t="s">
        <v>99</v>
      </c>
      <c r="D22" s="5" t="s">
        <v>32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900-000000000000}">
      <formula1>"SIM,NÃO"</formula1>
    </dataValidation>
    <dataValidation type="list" allowBlank="1" sqref="J8:J22" xr:uid="{00000000-0002-0000-1900-000001000000}">
      <formula1>"JANEIRO,FEVEREIRO,MARÇO,ABRIL,MAIO,JUNHO,JULHO,AGOSTO,SETEMBRO,OUTUBRO,NOVEMBRO,DEZEMBRO"</formula1>
    </dataValidation>
    <dataValidation type="list" allowBlank="1" sqref="L8:L22" xr:uid="{00000000-0002-0000-1900-000002000000}">
      <formula1>"doença,Questões de saúde,Evasão escolar,Mudança de domicílio,Dificuldade de acesso/transporte,Outros"</formula1>
    </dataValidation>
    <dataValidation type="list" allowBlank="1" sqref="M8:M22" xr:uid="{00000000-0002-0000-1900-000003000000}">
      <formula1>"PESSOALMENTE,TELEFONE,WHATSAPP,VISITA DOMICILIAR,OUTRO"</formula1>
    </dataValidation>
    <dataValidation type="list" allowBlank="1" sqref="O8:O22" xr:uid="{00000000-0002-0000-19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172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173</v>
      </c>
      <c r="E4" s="1" t="s">
        <v>174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26116812</v>
      </c>
      <c r="C8" s="6" t="s">
        <v>99</v>
      </c>
      <c r="D8" s="5" t="s">
        <v>33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26116812</v>
      </c>
      <c r="C9" s="10" t="s">
        <v>99</v>
      </c>
      <c r="D9" s="9" t="s">
        <v>33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26116812</v>
      </c>
      <c r="C10" s="6" t="s">
        <v>99</v>
      </c>
      <c r="D10" s="5" t="s">
        <v>33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26116812</v>
      </c>
      <c r="C11" s="10" t="s">
        <v>99</v>
      </c>
      <c r="D11" s="9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26116812</v>
      </c>
      <c r="C12" s="6" t="s">
        <v>99</v>
      </c>
      <c r="D12" s="5" t="s">
        <v>33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26116812</v>
      </c>
      <c r="C13" s="10" t="s">
        <v>99</v>
      </c>
      <c r="D13" s="9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26116812</v>
      </c>
      <c r="C14" s="6" t="s">
        <v>99</v>
      </c>
      <c r="D14" s="5" t="s">
        <v>33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26116812</v>
      </c>
      <c r="C15" s="10" t="s">
        <v>99</v>
      </c>
      <c r="D15" s="9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26116812</v>
      </c>
      <c r="C16" s="6" t="s">
        <v>99</v>
      </c>
      <c r="D16" s="5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26116812</v>
      </c>
      <c r="C17" s="10" t="s">
        <v>99</v>
      </c>
      <c r="D17" s="9" t="s">
        <v>33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26116812</v>
      </c>
      <c r="C18" s="6" t="s">
        <v>99</v>
      </c>
      <c r="D18" s="5" t="s">
        <v>33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26116812</v>
      </c>
      <c r="C19" s="10" t="s">
        <v>99</v>
      </c>
      <c r="D19" s="9" t="s">
        <v>33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26116812</v>
      </c>
      <c r="C20" s="6" t="s">
        <v>99</v>
      </c>
      <c r="D20" s="5" t="s">
        <v>33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26116812</v>
      </c>
      <c r="C21" s="10" t="s">
        <v>99</v>
      </c>
      <c r="D21" s="9" t="s">
        <v>33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26116812</v>
      </c>
      <c r="C22" s="6" t="s">
        <v>99</v>
      </c>
      <c r="D22" s="5" t="s">
        <v>33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A00-000000000000}">
      <formula1>"SIM,NÃO"</formula1>
    </dataValidation>
    <dataValidation type="list" allowBlank="1" sqref="J8:J22" xr:uid="{00000000-0002-0000-1A00-000001000000}">
      <formula1>"JANEIRO,FEVEREIRO,MARÇO,ABRIL,MAIO,JUNHO,JULHO,AGOSTO,SETEMBRO,OUTUBRO,NOVEMBRO,DEZEMBRO"</formula1>
    </dataValidation>
    <dataValidation type="list" allowBlank="1" sqref="L8:L22" xr:uid="{00000000-0002-0000-1A00-000002000000}">
      <formula1>"doença,Questões de saúde,Evasão escolar,Mudança de domicílio,Dificuldade de acesso/transporte,Outros"</formula1>
    </dataValidation>
    <dataValidation type="list" allowBlank="1" sqref="M8:M22" xr:uid="{00000000-0002-0000-1A00-000003000000}">
      <formula1>"PESSOALMENTE,TELEFONE,WHATSAPP,VISITA DOMICILIAR,OUTRO"</formula1>
    </dataValidation>
    <dataValidation type="list" allowBlank="1" sqref="O8:O22" xr:uid="{00000000-0002-0000-1A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175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176</v>
      </c>
      <c r="E4" s="1" t="s">
        <v>177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26188708</v>
      </c>
      <c r="C8" s="6" t="s">
        <v>99</v>
      </c>
      <c r="D8" s="5" t="s">
        <v>34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26188708</v>
      </c>
      <c r="C9" s="10" t="s">
        <v>99</v>
      </c>
      <c r="D9" s="9" t="s">
        <v>34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26188708</v>
      </c>
      <c r="C10" s="6" t="s">
        <v>99</v>
      </c>
      <c r="D10" s="5" t="s">
        <v>34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26188708</v>
      </c>
      <c r="C11" s="10" t="s">
        <v>99</v>
      </c>
      <c r="D11" s="9" t="s">
        <v>34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26188708</v>
      </c>
      <c r="C12" s="6" t="s">
        <v>99</v>
      </c>
      <c r="D12" s="5" t="s">
        <v>34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26188708</v>
      </c>
      <c r="C13" s="10" t="s">
        <v>99</v>
      </c>
      <c r="D13" s="9" t="s">
        <v>34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26188708</v>
      </c>
      <c r="C14" s="6" t="s">
        <v>99</v>
      </c>
      <c r="D14" s="5" t="s">
        <v>34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26188708</v>
      </c>
      <c r="C15" s="10" t="s">
        <v>99</v>
      </c>
      <c r="D15" s="9" t="s">
        <v>34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26188708</v>
      </c>
      <c r="C16" s="6" t="s">
        <v>99</v>
      </c>
      <c r="D16" s="5" t="s">
        <v>34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26188708</v>
      </c>
      <c r="C17" s="10" t="s">
        <v>99</v>
      </c>
      <c r="D17" s="9" t="s">
        <v>34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26188708</v>
      </c>
      <c r="C18" s="6" t="s">
        <v>99</v>
      </c>
      <c r="D18" s="5" t="s">
        <v>34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26188708</v>
      </c>
      <c r="C19" s="10" t="s">
        <v>99</v>
      </c>
      <c r="D19" s="9" t="s">
        <v>34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26188708</v>
      </c>
      <c r="C20" s="6" t="s">
        <v>99</v>
      </c>
      <c r="D20" s="5" t="s">
        <v>34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26188708</v>
      </c>
      <c r="C21" s="10" t="s">
        <v>99</v>
      </c>
      <c r="D21" s="9" t="s">
        <v>34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26188708</v>
      </c>
      <c r="C22" s="6" t="s">
        <v>99</v>
      </c>
      <c r="D22" s="5" t="s">
        <v>34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B00-000000000000}">
      <formula1>"SIM,NÃO"</formula1>
    </dataValidation>
    <dataValidation type="list" allowBlank="1" sqref="J8:J22" xr:uid="{00000000-0002-0000-1B00-000001000000}">
      <formula1>"JANEIRO,FEVEREIRO,MARÇO,ABRIL,MAIO,JUNHO,JULHO,AGOSTO,SETEMBRO,OUTUBRO,NOVEMBRO,DEZEMBRO"</formula1>
    </dataValidation>
    <dataValidation type="list" allowBlank="1" sqref="L8:L22" xr:uid="{00000000-0002-0000-1B00-000002000000}">
      <formula1>"doença,Questões de saúde,Evasão escolar,Mudança de domicílio,Dificuldade de acesso/transporte,Outros"</formula1>
    </dataValidation>
    <dataValidation type="list" allowBlank="1" sqref="M8:M22" xr:uid="{00000000-0002-0000-1B00-000003000000}">
      <formula1>"PESSOALMENTE,TELEFONE,WHATSAPP,VISITA DOMICILIAR,OUTRO"</formula1>
    </dataValidation>
    <dataValidation type="list" allowBlank="1" sqref="O8:O22" xr:uid="{00000000-0002-0000-1B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178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179</v>
      </c>
      <c r="E4" s="1" t="s">
        <v>180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26188660</v>
      </c>
      <c r="C8" s="6" t="s">
        <v>99</v>
      </c>
      <c r="D8" s="5" t="s">
        <v>35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26188660</v>
      </c>
      <c r="C9" s="10" t="s">
        <v>99</v>
      </c>
      <c r="D9" s="9" t="s">
        <v>35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26188660</v>
      </c>
      <c r="C10" s="6" t="s">
        <v>99</v>
      </c>
      <c r="D10" s="5" t="s">
        <v>35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26188660</v>
      </c>
      <c r="C11" s="10" t="s">
        <v>99</v>
      </c>
      <c r="D11" s="9" t="s">
        <v>35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26188660</v>
      </c>
      <c r="C12" s="6" t="s">
        <v>99</v>
      </c>
      <c r="D12" s="5" t="s">
        <v>35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26188660</v>
      </c>
      <c r="C13" s="10" t="s">
        <v>99</v>
      </c>
      <c r="D13" s="9" t="s">
        <v>35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26188660</v>
      </c>
      <c r="C14" s="6" t="s">
        <v>99</v>
      </c>
      <c r="D14" s="5" t="s">
        <v>35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26188660</v>
      </c>
      <c r="C15" s="10" t="s">
        <v>99</v>
      </c>
      <c r="D15" s="9" t="s">
        <v>35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26188660</v>
      </c>
      <c r="C16" s="6" t="s">
        <v>99</v>
      </c>
      <c r="D16" s="5" t="s">
        <v>35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26188660</v>
      </c>
      <c r="C17" s="10" t="s">
        <v>99</v>
      </c>
      <c r="D17" s="9" t="s">
        <v>35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26188660</v>
      </c>
      <c r="C18" s="6" t="s">
        <v>99</v>
      </c>
      <c r="D18" s="5" t="s">
        <v>35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26188660</v>
      </c>
      <c r="C19" s="10" t="s">
        <v>99</v>
      </c>
      <c r="D19" s="9" t="s">
        <v>35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26188660</v>
      </c>
      <c r="C20" s="6" t="s">
        <v>99</v>
      </c>
      <c r="D20" s="5" t="s">
        <v>35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26188660</v>
      </c>
      <c r="C21" s="10" t="s">
        <v>99</v>
      </c>
      <c r="D21" s="9" t="s">
        <v>35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26188660</v>
      </c>
      <c r="C22" s="6" t="s">
        <v>99</v>
      </c>
      <c r="D22" s="5" t="s">
        <v>35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C00-000000000000}">
      <formula1>"SIM,NÃO"</formula1>
    </dataValidation>
    <dataValidation type="list" allowBlank="1" sqref="J8:J22" xr:uid="{00000000-0002-0000-1C00-000001000000}">
      <formula1>"JANEIRO,FEVEREIRO,MARÇO,ABRIL,MAIO,JUNHO,JULHO,AGOSTO,SETEMBRO,OUTUBRO,NOVEMBRO,DEZEMBRO"</formula1>
    </dataValidation>
    <dataValidation type="list" allowBlank="1" sqref="L8:L22" xr:uid="{00000000-0002-0000-1C00-000002000000}">
      <formula1>"doença,Questões de saúde,Evasão escolar,Mudança de domicílio,Dificuldade de acesso/transporte,Outros"</formula1>
    </dataValidation>
    <dataValidation type="list" allowBlank="1" sqref="M8:M22" xr:uid="{00000000-0002-0000-1C00-000003000000}">
      <formula1>"PESSOALMENTE,TELEFONE,WHATSAPP,VISITA DOMICILIAR,OUTRO"</formula1>
    </dataValidation>
    <dataValidation type="list" allowBlank="1" sqref="O8:O22" xr:uid="{00000000-0002-0000-1C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181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182</v>
      </c>
      <c r="E4" s="1" t="s">
        <v>183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26116081</v>
      </c>
      <c r="C8" s="6" t="s">
        <v>99</v>
      </c>
      <c r="D8" s="5" t="s">
        <v>36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26116081</v>
      </c>
      <c r="C9" s="10" t="s">
        <v>99</v>
      </c>
      <c r="D9" s="9" t="s">
        <v>36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26116081</v>
      </c>
      <c r="C10" s="6" t="s">
        <v>99</v>
      </c>
      <c r="D10" s="5" t="s">
        <v>36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26116081</v>
      </c>
      <c r="C11" s="10" t="s">
        <v>99</v>
      </c>
      <c r="D11" s="9" t="s">
        <v>36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26116081</v>
      </c>
      <c r="C12" s="6" t="s">
        <v>99</v>
      </c>
      <c r="D12" s="5" t="s">
        <v>36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26116081</v>
      </c>
      <c r="C13" s="10" t="s">
        <v>99</v>
      </c>
      <c r="D13" s="9" t="s">
        <v>36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26116081</v>
      </c>
      <c r="C14" s="6" t="s">
        <v>99</v>
      </c>
      <c r="D14" s="5" t="s">
        <v>36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26116081</v>
      </c>
      <c r="C15" s="10" t="s">
        <v>99</v>
      </c>
      <c r="D15" s="9" t="s">
        <v>36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26116081</v>
      </c>
      <c r="C16" s="6" t="s">
        <v>99</v>
      </c>
      <c r="D16" s="5" t="s">
        <v>36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26116081</v>
      </c>
      <c r="C17" s="10" t="s">
        <v>99</v>
      </c>
      <c r="D17" s="9" t="s">
        <v>36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26116081</v>
      </c>
      <c r="C18" s="6" t="s">
        <v>99</v>
      </c>
      <c r="D18" s="5" t="s">
        <v>36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26116081</v>
      </c>
      <c r="C19" s="10" t="s">
        <v>99</v>
      </c>
      <c r="D19" s="9" t="s">
        <v>36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26116081</v>
      </c>
      <c r="C20" s="6" t="s">
        <v>99</v>
      </c>
      <c r="D20" s="5" t="s">
        <v>36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26116081</v>
      </c>
      <c r="C21" s="10" t="s">
        <v>99</v>
      </c>
      <c r="D21" s="9" t="s">
        <v>36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26116081</v>
      </c>
      <c r="C22" s="6" t="s">
        <v>99</v>
      </c>
      <c r="D22" s="5" t="s">
        <v>36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D00-000000000000}">
      <formula1>"SIM,NÃO"</formula1>
    </dataValidation>
    <dataValidation type="list" allowBlank="1" sqref="J8:J22" xr:uid="{00000000-0002-0000-1D00-000001000000}">
      <formula1>"JANEIRO,FEVEREIRO,MARÇO,ABRIL,MAIO,JUNHO,JULHO,AGOSTO,SETEMBRO,OUTUBRO,NOVEMBRO,DEZEMBRO"</formula1>
    </dataValidation>
    <dataValidation type="list" allowBlank="1" sqref="L8:L22" xr:uid="{00000000-0002-0000-1D00-000002000000}">
      <formula1>"doença,Questões de saúde,Evasão escolar,Mudança de domicílio,Dificuldade de acesso/transporte,Outros"</formula1>
    </dataValidation>
    <dataValidation type="list" allowBlank="1" sqref="M8:M22" xr:uid="{00000000-0002-0000-1D00-000003000000}">
      <formula1>"PESSOALMENTE,TELEFONE,WHATSAPP,VISITA DOMICILIAR,OUTRO"</formula1>
    </dataValidation>
    <dataValidation type="list" allowBlank="1" sqref="O8:O22" xr:uid="{00000000-0002-0000-1D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184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185</v>
      </c>
      <c r="E4" s="1" t="s">
        <v>186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26170230</v>
      </c>
      <c r="C8" s="6" t="s">
        <v>99</v>
      </c>
      <c r="D8" s="5" t="s">
        <v>37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26170230</v>
      </c>
      <c r="C9" s="10" t="s">
        <v>99</v>
      </c>
      <c r="D9" s="9" t="s">
        <v>37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26170230</v>
      </c>
      <c r="C10" s="6" t="s">
        <v>99</v>
      </c>
      <c r="D10" s="5" t="s">
        <v>37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26170230</v>
      </c>
      <c r="C11" s="10" t="s">
        <v>99</v>
      </c>
      <c r="D11" s="9" t="s">
        <v>37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26170230</v>
      </c>
      <c r="C12" s="6" t="s">
        <v>99</v>
      </c>
      <c r="D12" s="5" t="s">
        <v>37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26170230</v>
      </c>
      <c r="C13" s="10" t="s">
        <v>99</v>
      </c>
      <c r="D13" s="9" t="s">
        <v>37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26170230</v>
      </c>
      <c r="C14" s="6" t="s">
        <v>99</v>
      </c>
      <c r="D14" s="5" t="s">
        <v>37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26170230</v>
      </c>
      <c r="C15" s="10" t="s">
        <v>99</v>
      </c>
      <c r="D15" s="9" t="s">
        <v>37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26170230</v>
      </c>
      <c r="C16" s="6" t="s">
        <v>99</v>
      </c>
      <c r="D16" s="5" t="s">
        <v>37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26170230</v>
      </c>
      <c r="C17" s="10" t="s">
        <v>99</v>
      </c>
      <c r="D17" s="9" t="s">
        <v>37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26170230</v>
      </c>
      <c r="C18" s="6" t="s">
        <v>99</v>
      </c>
      <c r="D18" s="5" t="s">
        <v>37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26170230</v>
      </c>
      <c r="C19" s="10" t="s">
        <v>99</v>
      </c>
      <c r="D19" s="9" t="s">
        <v>37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26170230</v>
      </c>
      <c r="C20" s="6" t="s">
        <v>99</v>
      </c>
      <c r="D20" s="5" t="s">
        <v>37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26170230</v>
      </c>
      <c r="C21" s="10" t="s">
        <v>99</v>
      </c>
      <c r="D21" s="9" t="s">
        <v>37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26170230</v>
      </c>
      <c r="C22" s="6" t="s">
        <v>99</v>
      </c>
      <c r="D22" s="5" t="s">
        <v>37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E00-000000000000}">
      <formula1>"SIM,NÃO"</formula1>
    </dataValidation>
    <dataValidation type="list" allowBlank="1" sqref="J8:J22" xr:uid="{00000000-0002-0000-1E00-000001000000}">
      <formula1>"JANEIRO,FEVEREIRO,MARÇO,ABRIL,MAIO,JUNHO,JULHO,AGOSTO,SETEMBRO,OUTUBRO,NOVEMBRO,DEZEMBRO"</formula1>
    </dataValidation>
    <dataValidation type="list" allowBlank="1" sqref="L8:L22" xr:uid="{00000000-0002-0000-1E00-000002000000}">
      <formula1>"doença,Questões de saúde,Evasão escolar,Mudança de domicílio,Dificuldade de acesso/transporte,Outros"</formula1>
    </dataValidation>
    <dataValidation type="list" allowBlank="1" sqref="M8:M22" xr:uid="{00000000-0002-0000-1E00-000003000000}">
      <formula1>"PESSOALMENTE,TELEFONE,WHATSAPP,VISITA DOMICILIAR,OUTRO"</formula1>
    </dataValidation>
    <dataValidation type="list" allowBlank="1" sqref="O8:O22" xr:uid="{00000000-0002-0000-1E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187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188</v>
      </c>
      <c r="E4" s="1" t="s">
        <v>189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26179172</v>
      </c>
      <c r="C8" s="6" t="s">
        <v>99</v>
      </c>
      <c r="D8" s="5" t="s">
        <v>38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26179172</v>
      </c>
      <c r="C9" s="10" t="s">
        <v>99</v>
      </c>
      <c r="D9" s="9" t="s">
        <v>38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26179172</v>
      </c>
      <c r="C10" s="6" t="s">
        <v>99</v>
      </c>
      <c r="D10" s="5" t="s">
        <v>38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26179172</v>
      </c>
      <c r="C11" s="10" t="s">
        <v>99</v>
      </c>
      <c r="D11" s="9" t="s">
        <v>38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26179172</v>
      </c>
      <c r="C12" s="6" t="s">
        <v>99</v>
      </c>
      <c r="D12" s="5" t="s">
        <v>38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26179172</v>
      </c>
      <c r="C13" s="10" t="s">
        <v>99</v>
      </c>
      <c r="D13" s="9" t="s">
        <v>38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26179172</v>
      </c>
      <c r="C14" s="6" t="s">
        <v>99</v>
      </c>
      <c r="D14" s="5" t="s">
        <v>38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26179172</v>
      </c>
      <c r="C15" s="10" t="s">
        <v>99</v>
      </c>
      <c r="D15" s="9" t="s">
        <v>38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26179172</v>
      </c>
      <c r="C16" s="6" t="s">
        <v>99</v>
      </c>
      <c r="D16" s="5" t="s">
        <v>38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26179172</v>
      </c>
      <c r="C17" s="10" t="s">
        <v>99</v>
      </c>
      <c r="D17" s="9" t="s">
        <v>38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26179172</v>
      </c>
      <c r="C18" s="6" t="s">
        <v>99</v>
      </c>
      <c r="D18" s="5" t="s">
        <v>38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26179172</v>
      </c>
      <c r="C19" s="10" t="s">
        <v>99</v>
      </c>
      <c r="D19" s="9" t="s">
        <v>38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26179172</v>
      </c>
      <c r="C20" s="6" t="s">
        <v>99</v>
      </c>
      <c r="D20" s="5" t="s">
        <v>38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26179172</v>
      </c>
      <c r="C21" s="10" t="s">
        <v>99</v>
      </c>
      <c r="D21" s="9" t="s">
        <v>38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26179172</v>
      </c>
      <c r="C22" s="6" t="s">
        <v>99</v>
      </c>
      <c r="D22" s="5" t="s">
        <v>38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1F00-000000000000}">
      <formula1>"SIM,NÃO"</formula1>
    </dataValidation>
    <dataValidation type="list" allowBlank="1" sqref="J8:J22" xr:uid="{00000000-0002-0000-1F00-000001000000}">
      <formula1>"JANEIRO,FEVEREIRO,MARÇO,ABRIL,MAIO,JUNHO,JULHO,AGOSTO,SETEMBRO,OUTUBRO,NOVEMBRO,DEZEMBRO"</formula1>
    </dataValidation>
    <dataValidation type="list" allowBlank="1" sqref="L8:L22" xr:uid="{00000000-0002-0000-1F00-000002000000}">
      <formula1>"doença,Questões de saúde,Evasão escolar,Mudança de domicílio,Dificuldade de acesso/transporte,Outros"</formula1>
    </dataValidation>
    <dataValidation type="list" allowBlank="1" sqref="M8:M22" xr:uid="{00000000-0002-0000-1F00-000003000000}">
      <formula1>"PESSOALMENTE,TELEFONE,WHATSAPP,VISITA DOMICILIAR,OUTRO"</formula1>
    </dataValidation>
    <dataValidation type="list" allowBlank="1" sqref="O8:O22" xr:uid="{00000000-0002-0000-1F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190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191</v>
      </c>
      <c r="E4" s="1" t="s">
        <v>192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26116820</v>
      </c>
      <c r="C8" s="6" t="s">
        <v>99</v>
      </c>
      <c r="D8" s="5" t="s">
        <v>39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26116820</v>
      </c>
      <c r="C9" s="10" t="s">
        <v>99</v>
      </c>
      <c r="D9" s="9" t="s">
        <v>39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26116820</v>
      </c>
      <c r="C10" s="6" t="s">
        <v>99</v>
      </c>
      <c r="D10" s="5" t="s">
        <v>39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26116820</v>
      </c>
      <c r="C11" s="10" t="s">
        <v>99</v>
      </c>
      <c r="D11" s="9" t="s">
        <v>39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26116820</v>
      </c>
      <c r="C12" s="6" t="s">
        <v>99</v>
      </c>
      <c r="D12" s="5" t="s">
        <v>39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26116820</v>
      </c>
      <c r="C13" s="10" t="s">
        <v>99</v>
      </c>
      <c r="D13" s="9" t="s">
        <v>39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26116820</v>
      </c>
      <c r="C14" s="6" t="s">
        <v>99</v>
      </c>
      <c r="D14" s="5" t="s">
        <v>39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26116820</v>
      </c>
      <c r="C15" s="10" t="s">
        <v>99</v>
      </c>
      <c r="D15" s="9" t="s">
        <v>39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26116820</v>
      </c>
      <c r="C16" s="6" t="s">
        <v>99</v>
      </c>
      <c r="D16" s="5" t="s">
        <v>39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26116820</v>
      </c>
      <c r="C17" s="10" t="s">
        <v>99</v>
      </c>
      <c r="D17" s="9" t="s">
        <v>39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26116820</v>
      </c>
      <c r="C18" s="6" t="s">
        <v>99</v>
      </c>
      <c r="D18" s="5" t="s">
        <v>39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26116820</v>
      </c>
      <c r="C19" s="10" t="s">
        <v>99</v>
      </c>
      <c r="D19" s="9" t="s">
        <v>39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26116820</v>
      </c>
      <c r="C20" s="6" t="s">
        <v>99</v>
      </c>
      <c r="D20" s="5" t="s">
        <v>39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26116820</v>
      </c>
      <c r="C21" s="10" t="s">
        <v>99</v>
      </c>
      <c r="D21" s="9" t="s">
        <v>39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26116820</v>
      </c>
      <c r="C22" s="6" t="s">
        <v>99</v>
      </c>
      <c r="D22" s="5" t="s">
        <v>39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000-000000000000}">
      <formula1>"SIM,NÃO"</formula1>
    </dataValidation>
    <dataValidation type="list" allowBlank="1" sqref="J8:J22" xr:uid="{00000000-0002-0000-2000-000001000000}">
      <formula1>"JANEIRO,FEVEREIRO,MARÇO,ABRIL,MAIO,JUNHO,JULHO,AGOSTO,SETEMBRO,OUTUBRO,NOVEMBRO,DEZEMBRO"</formula1>
    </dataValidation>
    <dataValidation type="list" allowBlank="1" sqref="L8:L22" xr:uid="{00000000-0002-0000-2000-000002000000}">
      <formula1>"doença,Questões de saúde,Evasão escolar,Mudança de domicílio,Dificuldade de acesso/transporte,Outros"</formula1>
    </dataValidation>
    <dataValidation type="list" allowBlank="1" sqref="M8:M22" xr:uid="{00000000-0002-0000-2000-000003000000}">
      <formula1>"PESSOALMENTE,TELEFONE,WHATSAPP,VISITA DOMICILIAR,OUTRO"</formula1>
    </dataValidation>
    <dataValidation type="list" allowBlank="1" sqref="O8:O22" xr:uid="{00000000-0002-0000-20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193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194</v>
      </c>
      <c r="E4" s="1" t="s">
        <v>195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26188600</v>
      </c>
      <c r="C8" s="6" t="s">
        <v>99</v>
      </c>
      <c r="D8" s="5" t="s">
        <v>40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26188600</v>
      </c>
      <c r="C9" s="10" t="s">
        <v>99</v>
      </c>
      <c r="D9" s="9" t="s">
        <v>40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26188600</v>
      </c>
      <c r="C10" s="6" t="s">
        <v>99</v>
      </c>
      <c r="D10" s="5" t="s">
        <v>40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26188600</v>
      </c>
      <c r="C11" s="10" t="s">
        <v>99</v>
      </c>
      <c r="D11" s="9" t="s">
        <v>40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26188600</v>
      </c>
      <c r="C12" s="6" t="s">
        <v>99</v>
      </c>
      <c r="D12" s="5" t="s">
        <v>40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26188600</v>
      </c>
      <c r="C13" s="10" t="s">
        <v>99</v>
      </c>
      <c r="D13" s="9" t="s">
        <v>40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26188600</v>
      </c>
      <c r="C14" s="6" t="s">
        <v>99</v>
      </c>
      <c r="D14" s="5" t="s">
        <v>40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26188600</v>
      </c>
      <c r="C15" s="10" t="s">
        <v>99</v>
      </c>
      <c r="D15" s="9" t="s">
        <v>40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26188600</v>
      </c>
      <c r="C16" s="6" t="s">
        <v>99</v>
      </c>
      <c r="D16" s="5" t="s">
        <v>40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26188600</v>
      </c>
      <c r="C17" s="10" t="s">
        <v>99</v>
      </c>
      <c r="D17" s="9" t="s">
        <v>40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26188600</v>
      </c>
      <c r="C18" s="6" t="s">
        <v>99</v>
      </c>
      <c r="D18" s="5" t="s">
        <v>40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26188600</v>
      </c>
      <c r="C19" s="10" t="s">
        <v>99</v>
      </c>
      <c r="D19" s="9" t="s">
        <v>40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26188600</v>
      </c>
      <c r="C20" s="6" t="s">
        <v>99</v>
      </c>
      <c r="D20" s="5" t="s">
        <v>40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26188600</v>
      </c>
      <c r="C21" s="10" t="s">
        <v>99</v>
      </c>
      <c r="D21" s="9" t="s">
        <v>40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26188600</v>
      </c>
      <c r="C22" s="6" t="s">
        <v>99</v>
      </c>
      <c r="D22" s="5" t="s">
        <v>40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100-000000000000}">
      <formula1>"SIM,NÃO"</formula1>
    </dataValidation>
    <dataValidation type="list" allowBlank="1" sqref="J8:J22" xr:uid="{00000000-0002-0000-2100-000001000000}">
      <formula1>"JANEIRO,FEVEREIRO,MARÇO,ABRIL,MAIO,JUNHO,JULHO,AGOSTO,SETEMBRO,OUTUBRO,NOVEMBRO,DEZEMBRO"</formula1>
    </dataValidation>
    <dataValidation type="list" allowBlank="1" sqref="L8:L22" xr:uid="{00000000-0002-0000-2100-000002000000}">
      <formula1>"doença,Questões de saúde,Evasão escolar,Mudança de domicílio,Dificuldade de acesso/transporte,Outros"</formula1>
    </dataValidation>
    <dataValidation type="list" allowBlank="1" sqref="M8:M22" xr:uid="{00000000-0002-0000-2100-000003000000}">
      <formula1>"PESSOALMENTE,TELEFONE,WHATSAPP,VISITA DOMICILIAR,OUTRO"</formula1>
    </dataValidation>
    <dataValidation type="list" allowBlank="1" sqref="O8:O22" xr:uid="{00000000-0002-0000-21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196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197</v>
      </c>
      <c r="E4" s="1" t="s">
        <v>198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26116839</v>
      </c>
      <c r="C8" s="6" t="s">
        <v>99</v>
      </c>
      <c r="D8" s="5" t="s">
        <v>41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26116839</v>
      </c>
      <c r="C9" s="10" t="s">
        <v>99</v>
      </c>
      <c r="D9" s="9" t="s">
        <v>41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26116839</v>
      </c>
      <c r="C10" s="6" t="s">
        <v>99</v>
      </c>
      <c r="D10" s="5" t="s">
        <v>41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26116839</v>
      </c>
      <c r="C11" s="10" t="s">
        <v>99</v>
      </c>
      <c r="D11" s="9" t="s">
        <v>41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26116839</v>
      </c>
      <c r="C12" s="6" t="s">
        <v>99</v>
      </c>
      <c r="D12" s="5" t="s">
        <v>41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26116839</v>
      </c>
      <c r="C13" s="10" t="s">
        <v>99</v>
      </c>
      <c r="D13" s="9" t="s">
        <v>41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26116839</v>
      </c>
      <c r="C14" s="6" t="s">
        <v>99</v>
      </c>
      <c r="D14" s="5" t="s">
        <v>41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26116839</v>
      </c>
      <c r="C15" s="10" t="s">
        <v>99</v>
      </c>
      <c r="D15" s="9" t="s">
        <v>41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26116839</v>
      </c>
      <c r="C16" s="6" t="s">
        <v>99</v>
      </c>
      <c r="D16" s="5" t="s">
        <v>41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26116839</v>
      </c>
      <c r="C17" s="10" t="s">
        <v>99</v>
      </c>
      <c r="D17" s="9" t="s">
        <v>41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26116839</v>
      </c>
      <c r="C18" s="6" t="s">
        <v>99</v>
      </c>
      <c r="D18" s="5" t="s">
        <v>41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26116839</v>
      </c>
      <c r="C19" s="10" t="s">
        <v>99</v>
      </c>
      <c r="D19" s="9" t="s">
        <v>41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26116839</v>
      </c>
      <c r="C20" s="6" t="s">
        <v>99</v>
      </c>
      <c r="D20" s="5" t="s">
        <v>41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26116839</v>
      </c>
      <c r="C21" s="10" t="s">
        <v>99</v>
      </c>
      <c r="D21" s="9" t="s">
        <v>41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26116839</v>
      </c>
      <c r="C22" s="6" t="s">
        <v>99</v>
      </c>
      <c r="D22" s="5" t="s">
        <v>41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200-000000000000}">
      <formula1>"SIM,NÃO"</formula1>
    </dataValidation>
    <dataValidation type="list" allowBlank="1" sqref="J8:J22" xr:uid="{00000000-0002-0000-2200-000001000000}">
      <formula1>"JANEIRO,FEVEREIRO,MARÇO,ABRIL,MAIO,JUNHO,JULHO,AGOSTO,SETEMBRO,OUTUBRO,NOVEMBRO,DEZEMBRO"</formula1>
    </dataValidation>
    <dataValidation type="list" allowBlank="1" sqref="L8:L22" xr:uid="{00000000-0002-0000-2200-000002000000}">
      <formula1>"doença,Questões de saúde,Evasão escolar,Mudança de domicílio,Dificuldade de acesso/transporte,Outros"</formula1>
    </dataValidation>
    <dataValidation type="list" allowBlank="1" sqref="M8:M22" xr:uid="{00000000-0002-0000-2200-000003000000}">
      <formula1>"PESSOALMENTE,TELEFONE,WHATSAPP,VISITA DOMICILIAR,OUTRO"</formula1>
    </dataValidation>
    <dataValidation type="list" allowBlank="1" sqref="O8:O22" xr:uid="{00000000-0002-0000-22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199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200</v>
      </c>
      <c r="E4" s="1" t="s">
        <v>201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26116847</v>
      </c>
      <c r="C8" s="6" t="s">
        <v>99</v>
      </c>
      <c r="D8" s="5" t="s">
        <v>42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26116847</v>
      </c>
      <c r="C9" s="10" t="s">
        <v>99</v>
      </c>
      <c r="D9" s="9" t="s">
        <v>42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26116847</v>
      </c>
      <c r="C10" s="6" t="s">
        <v>99</v>
      </c>
      <c r="D10" s="5" t="s">
        <v>42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26116847</v>
      </c>
      <c r="C11" s="10" t="s">
        <v>99</v>
      </c>
      <c r="D11" s="9" t="s">
        <v>42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26116847</v>
      </c>
      <c r="C12" s="6" t="s">
        <v>99</v>
      </c>
      <c r="D12" s="5" t="s">
        <v>42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26116847</v>
      </c>
      <c r="C13" s="10" t="s">
        <v>99</v>
      </c>
      <c r="D13" s="9" t="s">
        <v>42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26116847</v>
      </c>
      <c r="C14" s="6" t="s">
        <v>99</v>
      </c>
      <c r="D14" s="5" t="s">
        <v>42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26116847</v>
      </c>
      <c r="C15" s="10" t="s">
        <v>99</v>
      </c>
      <c r="D15" s="9" t="s">
        <v>42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26116847</v>
      </c>
      <c r="C16" s="6" t="s">
        <v>99</v>
      </c>
      <c r="D16" s="5" t="s">
        <v>42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26116847</v>
      </c>
      <c r="C17" s="10" t="s">
        <v>99</v>
      </c>
      <c r="D17" s="9" t="s">
        <v>42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26116847</v>
      </c>
      <c r="C18" s="6" t="s">
        <v>99</v>
      </c>
      <c r="D18" s="5" t="s">
        <v>42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26116847</v>
      </c>
      <c r="C19" s="10" t="s">
        <v>99</v>
      </c>
      <c r="D19" s="9" t="s">
        <v>42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26116847</v>
      </c>
      <c r="C20" s="6" t="s">
        <v>99</v>
      </c>
      <c r="D20" s="5" t="s">
        <v>42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26116847</v>
      </c>
      <c r="C21" s="10" t="s">
        <v>99</v>
      </c>
      <c r="D21" s="9" t="s">
        <v>42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26116847</v>
      </c>
      <c r="C22" s="6" t="s">
        <v>99</v>
      </c>
      <c r="D22" s="5" t="s">
        <v>42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300-000000000000}">
      <formula1>"SIM,NÃO"</formula1>
    </dataValidation>
    <dataValidation type="list" allowBlank="1" sqref="J8:J22" xr:uid="{00000000-0002-0000-2300-000001000000}">
      <formula1>"JANEIRO,FEVEREIRO,MARÇO,ABRIL,MAIO,JUNHO,JULHO,AGOSTO,SETEMBRO,OUTUBRO,NOVEMBRO,DEZEMBRO"</formula1>
    </dataValidation>
    <dataValidation type="list" allowBlank="1" sqref="L8:L22" xr:uid="{00000000-0002-0000-2300-000002000000}">
      <formula1>"doença,Questões de saúde,Evasão escolar,Mudança de domicílio,Dificuldade de acesso/transporte,Outros"</formula1>
    </dataValidation>
    <dataValidation type="list" allowBlank="1" sqref="M8:M22" xr:uid="{00000000-0002-0000-2300-000003000000}">
      <formula1>"PESSOALMENTE,TELEFONE,WHATSAPP,VISITA DOMICILIAR,OUTRO"</formula1>
    </dataValidation>
    <dataValidation type="list" allowBlank="1" sqref="O8:O22" xr:uid="{00000000-0002-0000-23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202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203</v>
      </c>
      <c r="E4" s="1" t="s">
        <v>204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26116529</v>
      </c>
      <c r="C8" s="6" t="s">
        <v>99</v>
      </c>
      <c r="D8" s="5" t="s">
        <v>43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26116529</v>
      </c>
      <c r="C9" s="10" t="s">
        <v>99</v>
      </c>
      <c r="D9" s="9" t="s">
        <v>43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26116529</v>
      </c>
      <c r="C10" s="6" t="s">
        <v>99</v>
      </c>
      <c r="D10" s="5" t="s">
        <v>43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26116529</v>
      </c>
      <c r="C11" s="10" t="s">
        <v>99</v>
      </c>
      <c r="D11" s="9" t="s">
        <v>43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26116529</v>
      </c>
      <c r="C12" s="6" t="s">
        <v>99</v>
      </c>
      <c r="D12" s="5" t="s">
        <v>43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26116529</v>
      </c>
      <c r="C13" s="10" t="s">
        <v>99</v>
      </c>
      <c r="D13" s="9" t="s">
        <v>43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26116529</v>
      </c>
      <c r="C14" s="6" t="s">
        <v>99</v>
      </c>
      <c r="D14" s="5" t="s">
        <v>43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26116529</v>
      </c>
      <c r="C15" s="10" t="s">
        <v>99</v>
      </c>
      <c r="D15" s="9" t="s">
        <v>43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26116529</v>
      </c>
      <c r="C16" s="6" t="s">
        <v>99</v>
      </c>
      <c r="D16" s="5" t="s">
        <v>43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26116529</v>
      </c>
      <c r="C17" s="10" t="s">
        <v>99</v>
      </c>
      <c r="D17" s="9" t="s">
        <v>43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26116529</v>
      </c>
      <c r="C18" s="6" t="s">
        <v>99</v>
      </c>
      <c r="D18" s="5" t="s">
        <v>43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26116529</v>
      </c>
      <c r="C19" s="10" t="s">
        <v>99</v>
      </c>
      <c r="D19" s="9" t="s">
        <v>43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26116529</v>
      </c>
      <c r="C20" s="6" t="s">
        <v>99</v>
      </c>
      <c r="D20" s="5" t="s">
        <v>43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26116529</v>
      </c>
      <c r="C21" s="10" t="s">
        <v>99</v>
      </c>
      <c r="D21" s="9" t="s">
        <v>43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26116529</v>
      </c>
      <c r="C22" s="6" t="s">
        <v>99</v>
      </c>
      <c r="D22" s="5" t="s">
        <v>43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400-000000000000}">
      <formula1>"SIM,NÃO"</formula1>
    </dataValidation>
    <dataValidation type="list" allowBlank="1" sqref="J8:J22" xr:uid="{00000000-0002-0000-2400-000001000000}">
      <formula1>"JANEIRO,FEVEREIRO,MARÇO,ABRIL,MAIO,JUNHO,JULHO,AGOSTO,SETEMBRO,OUTUBRO,NOVEMBRO,DEZEMBRO"</formula1>
    </dataValidation>
    <dataValidation type="list" allowBlank="1" sqref="L8:L22" xr:uid="{00000000-0002-0000-2400-000002000000}">
      <formula1>"doença,Questões de saúde,Evasão escolar,Mudança de domicílio,Dificuldade de acesso/transporte,Outros"</formula1>
    </dataValidation>
    <dataValidation type="list" allowBlank="1" sqref="M8:M22" xr:uid="{00000000-0002-0000-2400-000003000000}">
      <formula1>"PESSOALMENTE,TELEFONE,WHATSAPP,VISITA DOMICILIAR,OUTRO"</formula1>
    </dataValidation>
    <dataValidation type="list" allowBlank="1" sqref="O8:O22" xr:uid="{00000000-0002-0000-24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205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125</v>
      </c>
      <c r="E4" s="1" t="s">
        <v>206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26116251</v>
      </c>
      <c r="C8" s="6" t="s">
        <v>99</v>
      </c>
      <c r="D8" s="5" t="s">
        <v>44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26116251</v>
      </c>
      <c r="C9" s="10" t="s">
        <v>99</v>
      </c>
      <c r="D9" s="9" t="s">
        <v>44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26116251</v>
      </c>
      <c r="C10" s="6" t="s">
        <v>99</v>
      </c>
      <c r="D10" s="5" t="s">
        <v>44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26116251</v>
      </c>
      <c r="C11" s="10" t="s">
        <v>99</v>
      </c>
      <c r="D11" s="9" t="s">
        <v>44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26116251</v>
      </c>
      <c r="C12" s="6" t="s">
        <v>99</v>
      </c>
      <c r="D12" s="5" t="s">
        <v>44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26116251</v>
      </c>
      <c r="C13" s="10" t="s">
        <v>99</v>
      </c>
      <c r="D13" s="9" t="s">
        <v>44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26116251</v>
      </c>
      <c r="C14" s="6" t="s">
        <v>99</v>
      </c>
      <c r="D14" s="5" t="s">
        <v>44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26116251</v>
      </c>
      <c r="C15" s="10" t="s">
        <v>99</v>
      </c>
      <c r="D15" s="9" t="s">
        <v>44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26116251</v>
      </c>
      <c r="C16" s="6" t="s">
        <v>99</v>
      </c>
      <c r="D16" s="5" t="s">
        <v>44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26116251</v>
      </c>
      <c r="C17" s="10" t="s">
        <v>99</v>
      </c>
      <c r="D17" s="9" t="s">
        <v>44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26116251</v>
      </c>
      <c r="C18" s="6" t="s">
        <v>99</v>
      </c>
      <c r="D18" s="5" t="s">
        <v>44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26116251</v>
      </c>
      <c r="C19" s="10" t="s">
        <v>99</v>
      </c>
      <c r="D19" s="9" t="s">
        <v>44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26116251</v>
      </c>
      <c r="C20" s="6" t="s">
        <v>99</v>
      </c>
      <c r="D20" s="5" t="s">
        <v>44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26116251</v>
      </c>
      <c r="C21" s="10" t="s">
        <v>99</v>
      </c>
      <c r="D21" s="9" t="s">
        <v>44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26116251</v>
      </c>
      <c r="C22" s="6" t="s">
        <v>99</v>
      </c>
      <c r="D22" s="5" t="s">
        <v>44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500-000000000000}">
      <formula1>"SIM,NÃO"</formula1>
    </dataValidation>
    <dataValidation type="list" allowBlank="1" sqref="J8:J22" xr:uid="{00000000-0002-0000-2500-000001000000}">
      <formula1>"JANEIRO,FEVEREIRO,MARÇO,ABRIL,MAIO,JUNHO,JULHO,AGOSTO,SETEMBRO,OUTUBRO,NOVEMBRO,DEZEMBRO"</formula1>
    </dataValidation>
    <dataValidation type="list" allowBlank="1" sqref="L8:L22" xr:uid="{00000000-0002-0000-2500-000002000000}">
      <formula1>"doença,Questões de saúde,Evasão escolar,Mudança de domicílio,Dificuldade de acesso/transporte,Outros"</formula1>
    </dataValidation>
    <dataValidation type="list" allowBlank="1" sqref="M8:M22" xr:uid="{00000000-0002-0000-2500-000003000000}">
      <formula1>"PESSOALMENTE,TELEFONE,WHATSAPP,VISITA DOMICILIAR,OUTRO"</formula1>
    </dataValidation>
    <dataValidation type="list" allowBlank="1" sqref="O8:O22" xr:uid="{00000000-0002-0000-25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207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208</v>
      </c>
      <c r="E4" s="1" t="s">
        <v>209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26188716</v>
      </c>
      <c r="C8" s="6" t="s">
        <v>99</v>
      </c>
      <c r="D8" s="5" t="s">
        <v>45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26188716</v>
      </c>
      <c r="C9" s="10" t="s">
        <v>99</v>
      </c>
      <c r="D9" s="9" t="s">
        <v>45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26188716</v>
      </c>
      <c r="C10" s="6" t="s">
        <v>99</v>
      </c>
      <c r="D10" s="5" t="s">
        <v>45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26188716</v>
      </c>
      <c r="C11" s="10" t="s">
        <v>99</v>
      </c>
      <c r="D11" s="9" t="s">
        <v>45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26188716</v>
      </c>
      <c r="C12" s="6" t="s">
        <v>99</v>
      </c>
      <c r="D12" s="5" t="s">
        <v>45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26188716</v>
      </c>
      <c r="C13" s="10" t="s">
        <v>99</v>
      </c>
      <c r="D13" s="9" t="s">
        <v>45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26188716</v>
      </c>
      <c r="C14" s="6" t="s">
        <v>99</v>
      </c>
      <c r="D14" s="5" t="s">
        <v>45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26188716</v>
      </c>
      <c r="C15" s="10" t="s">
        <v>99</v>
      </c>
      <c r="D15" s="9" t="s">
        <v>45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26188716</v>
      </c>
      <c r="C16" s="6" t="s">
        <v>99</v>
      </c>
      <c r="D16" s="5" t="s">
        <v>45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26188716</v>
      </c>
      <c r="C17" s="10" t="s">
        <v>99</v>
      </c>
      <c r="D17" s="9" t="s">
        <v>45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26188716</v>
      </c>
      <c r="C18" s="6" t="s">
        <v>99</v>
      </c>
      <c r="D18" s="5" t="s">
        <v>45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26188716</v>
      </c>
      <c r="C19" s="10" t="s">
        <v>99</v>
      </c>
      <c r="D19" s="9" t="s">
        <v>45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26188716</v>
      </c>
      <c r="C20" s="6" t="s">
        <v>99</v>
      </c>
      <c r="D20" s="5" t="s">
        <v>45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26188716</v>
      </c>
      <c r="C21" s="10" t="s">
        <v>99</v>
      </c>
      <c r="D21" s="9" t="s">
        <v>45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26188716</v>
      </c>
      <c r="C22" s="6" t="s">
        <v>99</v>
      </c>
      <c r="D22" s="5" t="s">
        <v>45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600-000000000000}">
      <formula1>"SIM,NÃO"</formula1>
    </dataValidation>
    <dataValidation type="list" allowBlank="1" sqref="J8:J22" xr:uid="{00000000-0002-0000-2600-000001000000}">
      <formula1>"JANEIRO,FEVEREIRO,MARÇO,ABRIL,MAIO,JUNHO,JULHO,AGOSTO,SETEMBRO,OUTUBRO,NOVEMBRO,DEZEMBRO"</formula1>
    </dataValidation>
    <dataValidation type="list" allowBlank="1" sqref="L8:L22" xr:uid="{00000000-0002-0000-2600-000002000000}">
      <formula1>"doença,Questões de saúde,Evasão escolar,Mudança de domicílio,Dificuldade de acesso/transporte,Outros"</formula1>
    </dataValidation>
    <dataValidation type="list" allowBlank="1" sqref="M8:M22" xr:uid="{00000000-0002-0000-2600-000003000000}">
      <formula1>"PESSOALMENTE,TELEFONE,WHATSAPP,VISITA DOMICILIAR,OUTRO"</formula1>
    </dataValidation>
    <dataValidation type="list" allowBlank="1" sqref="O8:O22" xr:uid="{00000000-0002-0000-26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210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211</v>
      </c>
      <c r="E4" s="1" t="s">
        <v>212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26116260</v>
      </c>
      <c r="C8" s="6" t="s">
        <v>99</v>
      </c>
      <c r="D8" s="5" t="s">
        <v>46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26116260</v>
      </c>
      <c r="C9" s="10" t="s">
        <v>99</v>
      </c>
      <c r="D9" s="9" t="s">
        <v>46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26116260</v>
      </c>
      <c r="C10" s="6" t="s">
        <v>99</v>
      </c>
      <c r="D10" s="5" t="s">
        <v>46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26116260</v>
      </c>
      <c r="C11" s="10" t="s">
        <v>99</v>
      </c>
      <c r="D11" s="9" t="s">
        <v>46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26116260</v>
      </c>
      <c r="C12" s="6" t="s">
        <v>99</v>
      </c>
      <c r="D12" s="5" t="s">
        <v>46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26116260</v>
      </c>
      <c r="C13" s="10" t="s">
        <v>99</v>
      </c>
      <c r="D13" s="9" t="s">
        <v>46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26116260</v>
      </c>
      <c r="C14" s="6" t="s">
        <v>99</v>
      </c>
      <c r="D14" s="5" t="s">
        <v>46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26116260</v>
      </c>
      <c r="C15" s="10" t="s">
        <v>99</v>
      </c>
      <c r="D15" s="9" t="s">
        <v>46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26116260</v>
      </c>
      <c r="C16" s="6" t="s">
        <v>99</v>
      </c>
      <c r="D16" s="5" t="s">
        <v>46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26116260</v>
      </c>
      <c r="C17" s="10" t="s">
        <v>99</v>
      </c>
      <c r="D17" s="9" t="s">
        <v>46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26116260</v>
      </c>
      <c r="C18" s="6" t="s">
        <v>99</v>
      </c>
      <c r="D18" s="5" t="s">
        <v>46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26116260</v>
      </c>
      <c r="C19" s="10" t="s">
        <v>99</v>
      </c>
      <c r="D19" s="9" t="s">
        <v>46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26116260</v>
      </c>
      <c r="C20" s="6" t="s">
        <v>99</v>
      </c>
      <c r="D20" s="5" t="s">
        <v>46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26116260</v>
      </c>
      <c r="C21" s="10" t="s">
        <v>99</v>
      </c>
      <c r="D21" s="9" t="s">
        <v>46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26116260</v>
      </c>
      <c r="C22" s="6" t="s">
        <v>99</v>
      </c>
      <c r="D22" s="5" t="s">
        <v>46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700-000000000000}">
      <formula1>"SIM,NÃO"</formula1>
    </dataValidation>
    <dataValidation type="list" allowBlank="1" sqref="J8:J22" xr:uid="{00000000-0002-0000-2700-000001000000}">
      <formula1>"JANEIRO,FEVEREIRO,MARÇO,ABRIL,MAIO,JUNHO,JULHO,AGOSTO,SETEMBRO,OUTUBRO,NOVEMBRO,DEZEMBRO"</formula1>
    </dataValidation>
    <dataValidation type="list" allowBlank="1" sqref="L8:L22" xr:uid="{00000000-0002-0000-2700-000002000000}">
      <formula1>"doença,Questões de saúde,Evasão escolar,Mudança de domicílio,Dificuldade de acesso/transporte,Outros"</formula1>
    </dataValidation>
    <dataValidation type="list" allowBlank="1" sqref="M8:M22" xr:uid="{00000000-0002-0000-2700-000003000000}">
      <formula1>"PESSOALMENTE,TELEFONE,WHATSAPP,VISITA DOMICILIAR,OUTRO"</formula1>
    </dataValidation>
    <dataValidation type="list" allowBlank="1" sqref="O8:O22" xr:uid="{00000000-0002-0000-27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213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214</v>
      </c>
      <c r="E4" s="1" t="s">
        <v>215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26116154</v>
      </c>
      <c r="C8" s="6" t="s">
        <v>99</v>
      </c>
      <c r="D8" s="5" t="s">
        <v>47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26116154</v>
      </c>
      <c r="C9" s="10" t="s">
        <v>99</v>
      </c>
      <c r="D9" s="9" t="s">
        <v>47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26116154</v>
      </c>
      <c r="C10" s="6" t="s">
        <v>99</v>
      </c>
      <c r="D10" s="5" t="s">
        <v>47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26116154</v>
      </c>
      <c r="C11" s="10" t="s">
        <v>99</v>
      </c>
      <c r="D11" s="9" t="s">
        <v>47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26116154</v>
      </c>
      <c r="C12" s="6" t="s">
        <v>99</v>
      </c>
      <c r="D12" s="5" t="s">
        <v>47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26116154</v>
      </c>
      <c r="C13" s="10" t="s">
        <v>99</v>
      </c>
      <c r="D13" s="9" t="s">
        <v>47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26116154</v>
      </c>
      <c r="C14" s="6" t="s">
        <v>99</v>
      </c>
      <c r="D14" s="5" t="s">
        <v>47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26116154</v>
      </c>
      <c r="C15" s="10" t="s">
        <v>99</v>
      </c>
      <c r="D15" s="9" t="s">
        <v>47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26116154</v>
      </c>
      <c r="C16" s="6" t="s">
        <v>99</v>
      </c>
      <c r="D16" s="5" t="s">
        <v>47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26116154</v>
      </c>
      <c r="C17" s="10" t="s">
        <v>99</v>
      </c>
      <c r="D17" s="9" t="s">
        <v>47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26116154</v>
      </c>
      <c r="C18" s="6" t="s">
        <v>99</v>
      </c>
      <c r="D18" s="5" t="s">
        <v>47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26116154</v>
      </c>
      <c r="C19" s="10" t="s">
        <v>99</v>
      </c>
      <c r="D19" s="9" t="s">
        <v>47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26116154</v>
      </c>
      <c r="C20" s="6" t="s">
        <v>99</v>
      </c>
      <c r="D20" s="5" t="s">
        <v>47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26116154</v>
      </c>
      <c r="C21" s="10" t="s">
        <v>99</v>
      </c>
      <c r="D21" s="9" t="s">
        <v>47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26116154</v>
      </c>
      <c r="C22" s="6" t="s">
        <v>99</v>
      </c>
      <c r="D22" s="5" t="s">
        <v>47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800-000000000000}">
      <formula1>"SIM,NÃO"</formula1>
    </dataValidation>
    <dataValidation type="list" allowBlank="1" sqref="J8:J22" xr:uid="{00000000-0002-0000-2800-000001000000}">
      <formula1>"JANEIRO,FEVEREIRO,MARÇO,ABRIL,MAIO,JUNHO,JULHO,AGOSTO,SETEMBRO,OUTUBRO,NOVEMBRO,DEZEMBRO"</formula1>
    </dataValidation>
    <dataValidation type="list" allowBlank="1" sqref="L8:L22" xr:uid="{00000000-0002-0000-2800-000002000000}">
      <formula1>"doença,Questões de saúde,Evasão escolar,Mudança de domicílio,Dificuldade de acesso/transporte,Outros"</formula1>
    </dataValidation>
    <dataValidation type="list" allowBlank="1" sqref="M8:M22" xr:uid="{00000000-0002-0000-2800-000003000000}">
      <formula1>"PESSOALMENTE,TELEFONE,WHATSAPP,VISITA DOMICILIAR,OUTRO"</formula1>
    </dataValidation>
    <dataValidation type="list" allowBlank="1" sqref="O8:O22" xr:uid="{00000000-0002-0000-28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216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217</v>
      </c>
      <c r="E4" s="1" t="s">
        <v>218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26193841</v>
      </c>
      <c r="C8" s="6" t="s">
        <v>99</v>
      </c>
      <c r="D8" s="5" t="s">
        <v>48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26193841</v>
      </c>
      <c r="C9" s="10" t="s">
        <v>99</v>
      </c>
      <c r="D9" s="9" t="s">
        <v>48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26193841</v>
      </c>
      <c r="C10" s="6" t="s">
        <v>99</v>
      </c>
      <c r="D10" s="5" t="s">
        <v>48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26193841</v>
      </c>
      <c r="C11" s="10" t="s">
        <v>99</v>
      </c>
      <c r="D11" s="9" t="s">
        <v>48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26193841</v>
      </c>
      <c r="C12" s="6" t="s">
        <v>99</v>
      </c>
      <c r="D12" s="5" t="s">
        <v>48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26193841</v>
      </c>
      <c r="C13" s="10" t="s">
        <v>99</v>
      </c>
      <c r="D13" s="9" t="s">
        <v>48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26193841</v>
      </c>
      <c r="C14" s="6" t="s">
        <v>99</v>
      </c>
      <c r="D14" s="5" t="s">
        <v>48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26193841</v>
      </c>
      <c r="C15" s="10" t="s">
        <v>99</v>
      </c>
      <c r="D15" s="9" t="s">
        <v>48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26193841</v>
      </c>
      <c r="C16" s="6" t="s">
        <v>99</v>
      </c>
      <c r="D16" s="5" t="s">
        <v>48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26193841</v>
      </c>
      <c r="C17" s="10" t="s">
        <v>99</v>
      </c>
      <c r="D17" s="9" t="s">
        <v>48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26193841</v>
      </c>
      <c r="C18" s="6" t="s">
        <v>99</v>
      </c>
      <c r="D18" s="5" t="s">
        <v>48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26193841</v>
      </c>
      <c r="C19" s="10" t="s">
        <v>99</v>
      </c>
      <c r="D19" s="9" t="s">
        <v>48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26193841</v>
      </c>
      <c r="C20" s="6" t="s">
        <v>99</v>
      </c>
      <c r="D20" s="5" t="s">
        <v>48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26193841</v>
      </c>
      <c r="C21" s="10" t="s">
        <v>99</v>
      </c>
      <c r="D21" s="9" t="s">
        <v>48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26193841</v>
      </c>
      <c r="C22" s="6" t="s">
        <v>99</v>
      </c>
      <c r="D22" s="5" t="s">
        <v>48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900-000000000000}">
      <formula1>"SIM,NÃO"</formula1>
    </dataValidation>
    <dataValidation type="list" allowBlank="1" sqref="J8:J22" xr:uid="{00000000-0002-0000-2900-000001000000}">
      <formula1>"JANEIRO,FEVEREIRO,MARÇO,ABRIL,MAIO,JUNHO,JULHO,AGOSTO,SETEMBRO,OUTUBRO,NOVEMBRO,DEZEMBRO"</formula1>
    </dataValidation>
    <dataValidation type="list" allowBlank="1" sqref="L8:L22" xr:uid="{00000000-0002-0000-2900-000002000000}">
      <formula1>"doença,Questões de saúde,Evasão escolar,Mudança de domicílio,Dificuldade de acesso/transporte,Outros"</formula1>
    </dataValidation>
    <dataValidation type="list" allowBlank="1" sqref="M8:M22" xr:uid="{00000000-0002-0000-2900-000003000000}">
      <formula1>"PESSOALMENTE,TELEFONE,WHATSAPP,VISITA DOMICILIAR,OUTRO"</formula1>
    </dataValidation>
    <dataValidation type="list" allowBlank="1" sqref="O8:O22" xr:uid="{00000000-0002-0000-29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219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220</v>
      </c>
      <c r="E4" s="1" t="s">
        <v>221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26117215</v>
      </c>
      <c r="C8" s="6" t="s">
        <v>99</v>
      </c>
      <c r="D8" s="5" t="s">
        <v>49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26117215</v>
      </c>
      <c r="C9" s="10" t="s">
        <v>99</v>
      </c>
      <c r="D9" s="9" t="s">
        <v>49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26117215</v>
      </c>
      <c r="C10" s="6" t="s">
        <v>99</v>
      </c>
      <c r="D10" s="5" t="s">
        <v>49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26117215</v>
      </c>
      <c r="C11" s="10" t="s">
        <v>99</v>
      </c>
      <c r="D11" s="9" t="s">
        <v>49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26117215</v>
      </c>
      <c r="C12" s="6" t="s">
        <v>99</v>
      </c>
      <c r="D12" s="5" t="s">
        <v>49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26117215</v>
      </c>
      <c r="C13" s="10" t="s">
        <v>99</v>
      </c>
      <c r="D13" s="9" t="s">
        <v>49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26117215</v>
      </c>
      <c r="C14" s="6" t="s">
        <v>99</v>
      </c>
      <c r="D14" s="5" t="s">
        <v>49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26117215</v>
      </c>
      <c r="C15" s="10" t="s">
        <v>99</v>
      </c>
      <c r="D15" s="9" t="s">
        <v>49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26117215</v>
      </c>
      <c r="C16" s="6" t="s">
        <v>99</v>
      </c>
      <c r="D16" s="5" t="s">
        <v>49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26117215</v>
      </c>
      <c r="C17" s="10" t="s">
        <v>99</v>
      </c>
      <c r="D17" s="9" t="s">
        <v>49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26117215</v>
      </c>
      <c r="C18" s="6" t="s">
        <v>99</v>
      </c>
      <c r="D18" s="5" t="s">
        <v>49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26117215</v>
      </c>
      <c r="C19" s="10" t="s">
        <v>99</v>
      </c>
      <c r="D19" s="9" t="s">
        <v>49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26117215</v>
      </c>
      <c r="C20" s="6" t="s">
        <v>99</v>
      </c>
      <c r="D20" s="5" t="s">
        <v>49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26117215</v>
      </c>
      <c r="C21" s="10" t="s">
        <v>99</v>
      </c>
      <c r="D21" s="9" t="s">
        <v>49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26117215</v>
      </c>
      <c r="C22" s="6" t="s">
        <v>99</v>
      </c>
      <c r="D22" s="5" t="s">
        <v>49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A00-000000000000}">
      <formula1>"SIM,NÃO"</formula1>
    </dataValidation>
    <dataValidation type="list" allowBlank="1" sqref="J8:J22" xr:uid="{00000000-0002-0000-2A00-000001000000}">
      <formula1>"JANEIRO,FEVEREIRO,MARÇO,ABRIL,MAIO,JUNHO,JULHO,AGOSTO,SETEMBRO,OUTUBRO,NOVEMBRO,DEZEMBRO"</formula1>
    </dataValidation>
    <dataValidation type="list" allowBlank="1" sqref="L8:L22" xr:uid="{00000000-0002-0000-2A00-000002000000}">
      <formula1>"doença,Questões de saúde,Evasão escolar,Mudança de domicílio,Dificuldade de acesso/transporte,Outros"</formula1>
    </dataValidation>
    <dataValidation type="list" allowBlank="1" sqref="M8:M22" xr:uid="{00000000-0002-0000-2A00-000003000000}">
      <formula1>"PESSOALMENTE,TELEFONE,WHATSAPP,VISITA DOMICILIAR,OUTRO"</formula1>
    </dataValidation>
    <dataValidation type="list" allowBlank="1" sqref="O8:O22" xr:uid="{00000000-0002-0000-2A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222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223</v>
      </c>
      <c r="E4" s="1" t="s">
        <v>224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26116880</v>
      </c>
      <c r="C8" s="6" t="s">
        <v>99</v>
      </c>
      <c r="D8" s="5" t="s">
        <v>50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26116880</v>
      </c>
      <c r="C9" s="10" t="s">
        <v>99</v>
      </c>
      <c r="D9" s="9" t="s">
        <v>50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26116880</v>
      </c>
      <c r="C10" s="6" t="s">
        <v>99</v>
      </c>
      <c r="D10" s="5" t="s">
        <v>50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26116880</v>
      </c>
      <c r="C11" s="10" t="s">
        <v>99</v>
      </c>
      <c r="D11" s="9" t="s">
        <v>50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26116880</v>
      </c>
      <c r="C12" s="6" t="s">
        <v>99</v>
      </c>
      <c r="D12" s="5" t="s">
        <v>50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26116880</v>
      </c>
      <c r="C13" s="10" t="s">
        <v>99</v>
      </c>
      <c r="D13" s="9" t="s">
        <v>50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26116880</v>
      </c>
      <c r="C14" s="6" t="s">
        <v>99</v>
      </c>
      <c r="D14" s="5" t="s">
        <v>50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26116880</v>
      </c>
      <c r="C15" s="10" t="s">
        <v>99</v>
      </c>
      <c r="D15" s="9" t="s">
        <v>50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26116880</v>
      </c>
      <c r="C16" s="6" t="s">
        <v>99</v>
      </c>
      <c r="D16" s="5" t="s">
        <v>50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26116880</v>
      </c>
      <c r="C17" s="10" t="s">
        <v>99</v>
      </c>
      <c r="D17" s="9" t="s">
        <v>50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26116880</v>
      </c>
      <c r="C18" s="6" t="s">
        <v>99</v>
      </c>
      <c r="D18" s="5" t="s">
        <v>50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26116880</v>
      </c>
      <c r="C19" s="10" t="s">
        <v>99</v>
      </c>
      <c r="D19" s="9" t="s">
        <v>50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26116880</v>
      </c>
      <c r="C20" s="6" t="s">
        <v>99</v>
      </c>
      <c r="D20" s="5" t="s">
        <v>50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26116880</v>
      </c>
      <c r="C21" s="10" t="s">
        <v>99</v>
      </c>
      <c r="D21" s="9" t="s">
        <v>50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26116880</v>
      </c>
      <c r="C22" s="6" t="s">
        <v>99</v>
      </c>
      <c r="D22" s="5" t="s">
        <v>50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B00-000000000000}">
      <formula1>"SIM,NÃO"</formula1>
    </dataValidation>
    <dataValidation type="list" allowBlank="1" sqref="J8:J22" xr:uid="{00000000-0002-0000-2B00-000001000000}">
      <formula1>"JANEIRO,FEVEREIRO,MARÇO,ABRIL,MAIO,JUNHO,JULHO,AGOSTO,SETEMBRO,OUTUBRO,NOVEMBRO,DEZEMBRO"</formula1>
    </dataValidation>
    <dataValidation type="list" allowBlank="1" sqref="L8:L22" xr:uid="{00000000-0002-0000-2B00-000002000000}">
      <formula1>"doença,Questões de saúde,Evasão escolar,Mudança de domicílio,Dificuldade de acesso/transporte,Outros"</formula1>
    </dataValidation>
    <dataValidation type="list" allowBlank="1" sqref="M8:M22" xr:uid="{00000000-0002-0000-2B00-000003000000}">
      <formula1>"PESSOALMENTE,TELEFONE,WHATSAPP,VISITA DOMICILIAR,OUTRO"</formula1>
    </dataValidation>
    <dataValidation type="list" allowBlank="1" sqref="O8:O22" xr:uid="{00000000-0002-0000-2B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225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226</v>
      </c>
      <c r="E4" s="1" t="s">
        <v>227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26116120</v>
      </c>
      <c r="C8" s="6" t="s">
        <v>99</v>
      </c>
      <c r="D8" s="5" t="s">
        <v>51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26116120</v>
      </c>
      <c r="C9" s="10" t="s">
        <v>99</v>
      </c>
      <c r="D9" s="9" t="s">
        <v>51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26116120</v>
      </c>
      <c r="C10" s="6" t="s">
        <v>99</v>
      </c>
      <c r="D10" s="5" t="s">
        <v>51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26116120</v>
      </c>
      <c r="C11" s="10" t="s">
        <v>99</v>
      </c>
      <c r="D11" s="9" t="s">
        <v>51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26116120</v>
      </c>
      <c r="C12" s="6" t="s">
        <v>99</v>
      </c>
      <c r="D12" s="5" t="s">
        <v>51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26116120</v>
      </c>
      <c r="C13" s="10" t="s">
        <v>99</v>
      </c>
      <c r="D13" s="9" t="s">
        <v>51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26116120</v>
      </c>
      <c r="C14" s="6" t="s">
        <v>99</v>
      </c>
      <c r="D14" s="5" t="s">
        <v>51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26116120</v>
      </c>
      <c r="C15" s="10" t="s">
        <v>99</v>
      </c>
      <c r="D15" s="9" t="s">
        <v>51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26116120</v>
      </c>
      <c r="C16" s="6" t="s">
        <v>99</v>
      </c>
      <c r="D16" s="5" t="s">
        <v>51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26116120</v>
      </c>
      <c r="C17" s="10" t="s">
        <v>99</v>
      </c>
      <c r="D17" s="9" t="s">
        <v>51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26116120</v>
      </c>
      <c r="C18" s="6" t="s">
        <v>99</v>
      </c>
      <c r="D18" s="5" t="s">
        <v>51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26116120</v>
      </c>
      <c r="C19" s="10" t="s">
        <v>99</v>
      </c>
      <c r="D19" s="9" t="s">
        <v>51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26116120</v>
      </c>
      <c r="C20" s="6" t="s">
        <v>99</v>
      </c>
      <c r="D20" s="5" t="s">
        <v>51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26116120</v>
      </c>
      <c r="C21" s="10" t="s">
        <v>99</v>
      </c>
      <c r="D21" s="9" t="s">
        <v>51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26116120</v>
      </c>
      <c r="C22" s="6" t="s">
        <v>99</v>
      </c>
      <c r="D22" s="5" t="s">
        <v>51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C00-000000000000}">
      <formula1>"SIM,NÃO"</formula1>
    </dataValidation>
    <dataValidation type="list" allowBlank="1" sqref="J8:J22" xr:uid="{00000000-0002-0000-2C00-000001000000}">
      <formula1>"JANEIRO,FEVEREIRO,MARÇO,ABRIL,MAIO,JUNHO,JULHO,AGOSTO,SETEMBRO,OUTUBRO,NOVEMBRO,DEZEMBRO"</formula1>
    </dataValidation>
    <dataValidation type="list" allowBlank="1" sqref="L8:L22" xr:uid="{00000000-0002-0000-2C00-000002000000}">
      <formula1>"doença,Questões de saúde,Evasão escolar,Mudança de domicílio,Dificuldade de acesso/transporte,Outros"</formula1>
    </dataValidation>
    <dataValidation type="list" allowBlank="1" sqref="M8:M22" xr:uid="{00000000-0002-0000-2C00-000003000000}">
      <formula1>"PESSOALMENTE,TELEFONE,WHATSAPP,VISITA DOMICILIAR,OUTRO"</formula1>
    </dataValidation>
    <dataValidation type="list" allowBlank="1" sqref="O8:O22" xr:uid="{00000000-0002-0000-2C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228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229</v>
      </c>
      <c r="E4" s="1" t="s">
        <v>230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26196735</v>
      </c>
      <c r="C8" s="6" t="s">
        <v>99</v>
      </c>
      <c r="D8" s="5" t="s">
        <v>52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26196735</v>
      </c>
      <c r="C9" s="10" t="s">
        <v>99</v>
      </c>
      <c r="D9" s="9" t="s">
        <v>52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26196735</v>
      </c>
      <c r="C10" s="6" t="s">
        <v>99</v>
      </c>
      <c r="D10" s="5" t="s">
        <v>52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26196735</v>
      </c>
      <c r="C11" s="10" t="s">
        <v>99</v>
      </c>
      <c r="D11" s="9" t="s">
        <v>52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26196735</v>
      </c>
      <c r="C12" s="6" t="s">
        <v>99</v>
      </c>
      <c r="D12" s="5" t="s">
        <v>52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26196735</v>
      </c>
      <c r="C13" s="10" t="s">
        <v>99</v>
      </c>
      <c r="D13" s="9" t="s">
        <v>52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26196735</v>
      </c>
      <c r="C14" s="6" t="s">
        <v>99</v>
      </c>
      <c r="D14" s="5" t="s">
        <v>52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26196735</v>
      </c>
      <c r="C15" s="10" t="s">
        <v>99</v>
      </c>
      <c r="D15" s="9" t="s">
        <v>52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26196735</v>
      </c>
      <c r="C16" s="6" t="s">
        <v>99</v>
      </c>
      <c r="D16" s="5" t="s">
        <v>52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26196735</v>
      </c>
      <c r="C17" s="10" t="s">
        <v>99</v>
      </c>
      <c r="D17" s="9" t="s">
        <v>52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26196735</v>
      </c>
      <c r="C18" s="6" t="s">
        <v>99</v>
      </c>
      <c r="D18" s="5" t="s">
        <v>52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26196735</v>
      </c>
      <c r="C19" s="10" t="s">
        <v>99</v>
      </c>
      <c r="D19" s="9" t="s">
        <v>52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26196735</v>
      </c>
      <c r="C20" s="6" t="s">
        <v>99</v>
      </c>
      <c r="D20" s="5" t="s">
        <v>52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26196735</v>
      </c>
      <c r="C21" s="10" t="s">
        <v>99</v>
      </c>
      <c r="D21" s="9" t="s">
        <v>52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26196735</v>
      </c>
      <c r="C22" s="6" t="s">
        <v>99</v>
      </c>
      <c r="D22" s="5" t="s">
        <v>52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D00-000000000000}">
      <formula1>"SIM,NÃO"</formula1>
    </dataValidation>
    <dataValidation type="list" allowBlank="1" sqref="J8:J22" xr:uid="{00000000-0002-0000-2D00-000001000000}">
      <formula1>"JANEIRO,FEVEREIRO,MARÇO,ABRIL,MAIO,JUNHO,JULHO,AGOSTO,SETEMBRO,OUTUBRO,NOVEMBRO,DEZEMBRO"</formula1>
    </dataValidation>
    <dataValidation type="list" allowBlank="1" sqref="L8:L22" xr:uid="{00000000-0002-0000-2D00-000002000000}">
      <formula1>"doença,Questões de saúde,Evasão escolar,Mudança de domicílio,Dificuldade de acesso/transporte,Outros"</formula1>
    </dataValidation>
    <dataValidation type="list" allowBlank="1" sqref="M8:M22" xr:uid="{00000000-0002-0000-2D00-000003000000}">
      <formula1>"PESSOALMENTE,TELEFONE,WHATSAPP,VISITA DOMICILIAR,OUTRO"</formula1>
    </dataValidation>
    <dataValidation type="list" allowBlank="1" sqref="O8:O22" xr:uid="{00000000-0002-0000-2D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231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232</v>
      </c>
      <c r="E4" s="1" t="s">
        <v>233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26188724</v>
      </c>
      <c r="C8" s="6" t="s">
        <v>99</v>
      </c>
      <c r="D8" s="5" t="s">
        <v>53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26188724</v>
      </c>
      <c r="C9" s="10" t="s">
        <v>99</v>
      </c>
      <c r="D9" s="9" t="s">
        <v>53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26188724</v>
      </c>
      <c r="C10" s="6" t="s">
        <v>99</v>
      </c>
      <c r="D10" s="5" t="s">
        <v>53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26188724</v>
      </c>
      <c r="C11" s="10" t="s">
        <v>99</v>
      </c>
      <c r="D11" s="9" t="s">
        <v>53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26188724</v>
      </c>
      <c r="C12" s="6" t="s">
        <v>99</v>
      </c>
      <c r="D12" s="5" t="s">
        <v>53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26188724</v>
      </c>
      <c r="C13" s="10" t="s">
        <v>99</v>
      </c>
      <c r="D13" s="9" t="s">
        <v>53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26188724</v>
      </c>
      <c r="C14" s="6" t="s">
        <v>99</v>
      </c>
      <c r="D14" s="5" t="s">
        <v>53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26188724</v>
      </c>
      <c r="C15" s="10" t="s">
        <v>99</v>
      </c>
      <c r="D15" s="9" t="s">
        <v>53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26188724</v>
      </c>
      <c r="C16" s="6" t="s">
        <v>99</v>
      </c>
      <c r="D16" s="5" t="s">
        <v>53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26188724</v>
      </c>
      <c r="C17" s="10" t="s">
        <v>99</v>
      </c>
      <c r="D17" s="9" t="s">
        <v>53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26188724</v>
      </c>
      <c r="C18" s="6" t="s">
        <v>99</v>
      </c>
      <c r="D18" s="5" t="s">
        <v>53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26188724</v>
      </c>
      <c r="C19" s="10" t="s">
        <v>99</v>
      </c>
      <c r="D19" s="9" t="s">
        <v>53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26188724</v>
      </c>
      <c r="C20" s="6" t="s">
        <v>99</v>
      </c>
      <c r="D20" s="5" t="s">
        <v>53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26188724</v>
      </c>
      <c r="C21" s="10" t="s">
        <v>99</v>
      </c>
      <c r="D21" s="9" t="s">
        <v>53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26188724</v>
      </c>
      <c r="C22" s="6" t="s">
        <v>99</v>
      </c>
      <c r="D22" s="5" t="s">
        <v>53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E00-000000000000}">
      <formula1>"SIM,NÃO"</formula1>
    </dataValidation>
    <dataValidation type="list" allowBlank="1" sqref="J8:J22" xr:uid="{00000000-0002-0000-2E00-000001000000}">
      <formula1>"JANEIRO,FEVEREIRO,MARÇO,ABRIL,MAIO,JUNHO,JULHO,AGOSTO,SETEMBRO,OUTUBRO,NOVEMBRO,DEZEMBRO"</formula1>
    </dataValidation>
    <dataValidation type="list" allowBlank="1" sqref="L8:L22" xr:uid="{00000000-0002-0000-2E00-000002000000}">
      <formula1>"doença,Questões de saúde,Evasão escolar,Mudança de domicílio,Dificuldade de acesso/transporte,Outros"</formula1>
    </dataValidation>
    <dataValidation type="list" allowBlank="1" sqref="M8:M22" xr:uid="{00000000-0002-0000-2E00-000003000000}">
      <formula1>"PESSOALMENTE,TELEFONE,WHATSAPP,VISITA DOMICILIAR,OUTRO"</formula1>
    </dataValidation>
    <dataValidation type="list" allowBlank="1" sqref="O8:O22" xr:uid="{00000000-0002-0000-2E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234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235</v>
      </c>
      <c r="E4" s="1" t="s">
        <v>236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26188732</v>
      </c>
      <c r="C8" s="6" t="s">
        <v>99</v>
      </c>
      <c r="D8" s="5" t="s">
        <v>54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26188732</v>
      </c>
      <c r="C9" s="10" t="s">
        <v>99</v>
      </c>
      <c r="D9" s="9" t="s">
        <v>54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26188732</v>
      </c>
      <c r="C10" s="6" t="s">
        <v>99</v>
      </c>
      <c r="D10" s="5" t="s">
        <v>54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26188732</v>
      </c>
      <c r="C11" s="10" t="s">
        <v>99</v>
      </c>
      <c r="D11" s="9" t="s">
        <v>54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26188732</v>
      </c>
      <c r="C12" s="6" t="s">
        <v>99</v>
      </c>
      <c r="D12" s="5" t="s">
        <v>54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26188732</v>
      </c>
      <c r="C13" s="10" t="s">
        <v>99</v>
      </c>
      <c r="D13" s="9" t="s">
        <v>54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26188732</v>
      </c>
      <c r="C14" s="6" t="s">
        <v>99</v>
      </c>
      <c r="D14" s="5" t="s">
        <v>54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26188732</v>
      </c>
      <c r="C15" s="10" t="s">
        <v>99</v>
      </c>
      <c r="D15" s="9" t="s">
        <v>54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26188732</v>
      </c>
      <c r="C16" s="6" t="s">
        <v>99</v>
      </c>
      <c r="D16" s="5" t="s">
        <v>54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26188732</v>
      </c>
      <c r="C17" s="10" t="s">
        <v>99</v>
      </c>
      <c r="D17" s="9" t="s">
        <v>54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26188732</v>
      </c>
      <c r="C18" s="6" t="s">
        <v>99</v>
      </c>
      <c r="D18" s="5" t="s">
        <v>54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26188732</v>
      </c>
      <c r="C19" s="10" t="s">
        <v>99</v>
      </c>
      <c r="D19" s="9" t="s">
        <v>54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26188732</v>
      </c>
      <c r="C20" s="6" t="s">
        <v>99</v>
      </c>
      <c r="D20" s="5" t="s">
        <v>54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26188732</v>
      </c>
      <c r="C21" s="10" t="s">
        <v>99</v>
      </c>
      <c r="D21" s="9" t="s">
        <v>54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26188732</v>
      </c>
      <c r="C22" s="6" t="s">
        <v>99</v>
      </c>
      <c r="D22" s="5" t="s">
        <v>54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2F00-000000000000}">
      <formula1>"SIM,NÃO"</formula1>
    </dataValidation>
    <dataValidation type="list" allowBlank="1" sqref="J8:J22" xr:uid="{00000000-0002-0000-2F00-000001000000}">
      <formula1>"JANEIRO,FEVEREIRO,MARÇO,ABRIL,MAIO,JUNHO,JULHO,AGOSTO,SETEMBRO,OUTUBRO,NOVEMBRO,DEZEMBRO"</formula1>
    </dataValidation>
    <dataValidation type="list" allowBlank="1" sqref="L8:L22" xr:uid="{00000000-0002-0000-2F00-000002000000}">
      <formula1>"doença,Questões de saúde,Evasão escolar,Mudança de domicílio,Dificuldade de acesso/transporte,Outros"</formula1>
    </dataValidation>
    <dataValidation type="list" allowBlank="1" sqref="M8:M22" xr:uid="{00000000-0002-0000-2F00-000003000000}">
      <formula1>"PESSOALMENTE,TELEFONE,WHATSAPP,VISITA DOMICILIAR,OUTRO"</formula1>
    </dataValidation>
    <dataValidation type="list" allowBlank="1" sqref="O8:O22" xr:uid="{00000000-0002-0000-2F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237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238</v>
      </c>
      <c r="E4" s="1" t="s">
        <v>239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26182564</v>
      </c>
      <c r="C8" s="6" t="s">
        <v>99</v>
      </c>
      <c r="D8" s="5" t="s">
        <v>55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26182564</v>
      </c>
      <c r="C9" s="10" t="s">
        <v>99</v>
      </c>
      <c r="D9" s="9" t="s">
        <v>55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26182564</v>
      </c>
      <c r="C10" s="6" t="s">
        <v>99</v>
      </c>
      <c r="D10" s="5" t="s">
        <v>55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26182564</v>
      </c>
      <c r="C11" s="10" t="s">
        <v>99</v>
      </c>
      <c r="D11" s="9" t="s">
        <v>55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26182564</v>
      </c>
      <c r="C12" s="6" t="s">
        <v>99</v>
      </c>
      <c r="D12" s="5" t="s">
        <v>55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26182564</v>
      </c>
      <c r="C13" s="10" t="s">
        <v>99</v>
      </c>
      <c r="D13" s="9" t="s">
        <v>55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26182564</v>
      </c>
      <c r="C14" s="6" t="s">
        <v>99</v>
      </c>
      <c r="D14" s="5" t="s">
        <v>55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26182564</v>
      </c>
      <c r="C15" s="10" t="s">
        <v>99</v>
      </c>
      <c r="D15" s="9" t="s">
        <v>55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26182564</v>
      </c>
      <c r="C16" s="6" t="s">
        <v>99</v>
      </c>
      <c r="D16" s="5" t="s">
        <v>55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26182564</v>
      </c>
      <c r="C17" s="10" t="s">
        <v>99</v>
      </c>
      <c r="D17" s="9" t="s">
        <v>55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26182564</v>
      </c>
      <c r="C18" s="6" t="s">
        <v>99</v>
      </c>
      <c r="D18" s="5" t="s">
        <v>55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26182564</v>
      </c>
      <c r="C19" s="10" t="s">
        <v>99</v>
      </c>
      <c r="D19" s="9" t="s">
        <v>55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26182564</v>
      </c>
      <c r="C20" s="6" t="s">
        <v>99</v>
      </c>
      <c r="D20" s="5" t="s">
        <v>55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26182564</v>
      </c>
      <c r="C21" s="10" t="s">
        <v>99</v>
      </c>
      <c r="D21" s="9" t="s">
        <v>55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26182564</v>
      </c>
      <c r="C22" s="6" t="s">
        <v>99</v>
      </c>
      <c r="D22" s="5" t="s">
        <v>55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000-000000000000}">
      <formula1>"SIM,NÃO"</formula1>
    </dataValidation>
    <dataValidation type="list" allowBlank="1" sqref="J8:J22" xr:uid="{00000000-0002-0000-3000-000001000000}">
      <formula1>"JANEIRO,FEVEREIRO,MARÇO,ABRIL,MAIO,JUNHO,JULHO,AGOSTO,SETEMBRO,OUTUBRO,NOVEMBRO,DEZEMBRO"</formula1>
    </dataValidation>
    <dataValidation type="list" allowBlank="1" sqref="L8:L22" xr:uid="{00000000-0002-0000-3000-000002000000}">
      <formula1>"doença,Questões de saúde,Evasão escolar,Mudança de domicílio,Dificuldade de acesso/transporte,Outros"</formula1>
    </dataValidation>
    <dataValidation type="list" allowBlank="1" sqref="M8:M22" xr:uid="{00000000-0002-0000-3000-000003000000}">
      <formula1>"PESSOALMENTE,TELEFONE,WHATSAPP,VISITA DOMICILIAR,OUTRO"</formula1>
    </dataValidation>
    <dataValidation type="list" allowBlank="1" sqref="O8:O22" xr:uid="{00000000-0002-0000-30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240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173</v>
      </c>
      <c r="E4" s="1" t="s">
        <v>241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26182556</v>
      </c>
      <c r="C8" s="6" t="s">
        <v>99</v>
      </c>
      <c r="D8" s="5" t="s">
        <v>56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26182556</v>
      </c>
      <c r="C9" s="10" t="s">
        <v>99</v>
      </c>
      <c r="D9" s="9" t="s">
        <v>56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26182556</v>
      </c>
      <c r="C10" s="6" t="s">
        <v>99</v>
      </c>
      <c r="D10" s="5" t="s">
        <v>56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26182556</v>
      </c>
      <c r="C11" s="10" t="s">
        <v>99</v>
      </c>
      <c r="D11" s="9" t="s">
        <v>56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26182556</v>
      </c>
      <c r="C12" s="6" t="s">
        <v>99</v>
      </c>
      <c r="D12" s="5" t="s">
        <v>56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26182556</v>
      </c>
      <c r="C13" s="10" t="s">
        <v>99</v>
      </c>
      <c r="D13" s="9" t="s">
        <v>56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26182556</v>
      </c>
      <c r="C14" s="6" t="s">
        <v>99</v>
      </c>
      <c r="D14" s="5" t="s">
        <v>56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26182556</v>
      </c>
      <c r="C15" s="10" t="s">
        <v>99</v>
      </c>
      <c r="D15" s="9" t="s">
        <v>56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26182556</v>
      </c>
      <c r="C16" s="6" t="s">
        <v>99</v>
      </c>
      <c r="D16" s="5" t="s">
        <v>56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26182556</v>
      </c>
      <c r="C17" s="10" t="s">
        <v>99</v>
      </c>
      <c r="D17" s="9" t="s">
        <v>56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26182556</v>
      </c>
      <c r="C18" s="6" t="s">
        <v>99</v>
      </c>
      <c r="D18" s="5" t="s">
        <v>56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26182556</v>
      </c>
      <c r="C19" s="10" t="s">
        <v>99</v>
      </c>
      <c r="D19" s="9" t="s">
        <v>56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26182556</v>
      </c>
      <c r="C20" s="6" t="s">
        <v>99</v>
      </c>
      <c r="D20" s="5" t="s">
        <v>56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26182556</v>
      </c>
      <c r="C21" s="10" t="s">
        <v>99</v>
      </c>
      <c r="D21" s="9" t="s">
        <v>56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26182556</v>
      </c>
      <c r="C22" s="6" t="s">
        <v>99</v>
      </c>
      <c r="D22" s="5" t="s">
        <v>56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100-000000000000}">
      <formula1>"SIM,NÃO"</formula1>
    </dataValidation>
    <dataValidation type="list" allowBlank="1" sqref="J8:J22" xr:uid="{00000000-0002-0000-3100-000001000000}">
      <formula1>"JANEIRO,FEVEREIRO,MARÇO,ABRIL,MAIO,JUNHO,JULHO,AGOSTO,SETEMBRO,OUTUBRO,NOVEMBRO,DEZEMBRO"</formula1>
    </dataValidation>
    <dataValidation type="list" allowBlank="1" sqref="L8:L22" xr:uid="{00000000-0002-0000-3100-000002000000}">
      <formula1>"doença,Questões de saúde,Evasão escolar,Mudança de domicílio,Dificuldade de acesso/transporte,Outros"</formula1>
    </dataValidation>
    <dataValidation type="list" allowBlank="1" sqref="M8:M22" xr:uid="{00000000-0002-0000-3100-000003000000}">
      <formula1>"PESSOALMENTE,TELEFONE,WHATSAPP,VISITA DOMICILIAR,OUTRO"</formula1>
    </dataValidation>
    <dataValidation type="list" allowBlank="1" sqref="O8:O22" xr:uid="{00000000-0002-0000-31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242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243</v>
      </c>
      <c r="E4" s="1" t="s">
        <v>244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26116910</v>
      </c>
      <c r="C8" s="6" t="s">
        <v>99</v>
      </c>
      <c r="D8" s="5" t="s">
        <v>57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26116910</v>
      </c>
      <c r="C9" s="10" t="s">
        <v>99</v>
      </c>
      <c r="D9" s="9" t="s">
        <v>57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26116910</v>
      </c>
      <c r="C10" s="6" t="s">
        <v>99</v>
      </c>
      <c r="D10" s="5" t="s">
        <v>57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26116910</v>
      </c>
      <c r="C11" s="10" t="s">
        <v>99</v>
      </c>
      <c r="D11" s="9" t="s">
        <v>57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26116910</v>
      </c>
      <c r="C12" s="6" t="s">
        <v>99</v>
      </c>
      <c r="D12" s="5" t="s">
        <v>57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26116910</v>
      </c>
      <c r="C13" s="10" t="s">
        <v>99</v>
      </c>
      <c r="D13" s="9" t="s">
        <v>57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26116910</v>
      </c>
      <c r="C14" s="6" t="s">
        <v>99</v>
      </c>
      <c r="D14" s="5" t="s">
        <v>57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26116910</v>
      </c>
      <c r="C15" s="10" t="s">
        <v>99</v>
      </c>
      <c r="D15" s="9" t="s">
        <v>57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26116910</v>
      </c>
      <c r="C16" s="6" t="s">
        <v>99</v>
      </c>
      <c r="D16" s="5" t="s">
        <v>57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26116910</v>
      </c>
      <c r="C17" s="10" t="s">
        <v>99</v>
      </c>
      <c r="D17" s="9" t="s">
        <v>57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26116910</v>
      </c>
      <c r="C18" s="6" t="s">
        <v>99</v>
      </c>
      <c r="D18" s="5" t="s">
        <v>57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26116910</v>
      </c>
      <c r="C19" s="10" t="s">
        <v>99</v>
      </c>
      <c r="D19" s="9" t="s">
        <v>57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26116910</v>
      </c>
      <c r="C20" s="6" t="s">
        <v>99</v>
      </c>
      <c r="D20" s="5" t="s">
        <v>57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26116910</v>
      </c>
      <c r="C21" s="10" t="s">
        <v>99</v>
      </c>
      <c r="D21" s="9" t="s">
        <v>57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26116910</v>
      </c>
      <c r="C22" s="6" t="s">
        <v>99</v>
      </c>
      <c r="D22" s="5" t="s">
        <v>57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200-000000000000}">
      <formula1>"SIM,NÃO"</formula1>
    </dataValidation>
    <dataValidation type="list" allowBlank="1" sqref="J8:J22" xr:uid="{00000000-0002-0000-3200-000001000000}">
      <formula1>"JANEIRO,FEVEREIRO,MARÇO,ABRIL,MAIO,JUNHO,JULHO,AGOSTO,SETEMBRO,OUTUBRO,NOVEMBRO,DEZEMBRO"</formula1>
    </dataValidation>
    <dataValidation type="list" allowBlank="1" sqref="L8:L22" xr:uid="{00000000-0002-0000-3200-000002000000}">
      <formula1>"doença,Questões de saúde,Evasão escolar,Mudança de domicílio,Dificuldade de acesso/transporte,Outros"</formula1>
    </dataValidation>
    <dataValidation type="list" allowBlank="1" sqref="M8:M22" xr:uid="{00000000-0002-0000-3200-000003000000}">
      <formula1>"PESSOALMENTE,TELEFONE,WHATSAPP,VISITA DOMICILIAR,OUTRO"</formula1>
    </dataValidation>
    <dataValidation type="list" allowBlank="1" sqref="O8:O22" xr:uid="{00000000-0002-0000-32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245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246</v>
      </c>
      <c r="E4" s="1" t="s">
        <v>247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26188759</v>
      </c>
      <c r="C8" s="6" t="s">
        <v>99</v>
      </c>
      <c r="D8" s="5" t="s">
        <v>58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26188759</v>
      </c>
      <c r="C9" s="10" t="s">
        <v>99</v>
      </c>
      <c r="D9" s="9" t="s">
        <v>58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26188759</v>
      </c>
      <c r="C10" s="6" t="s">
        <v>99</v>
      </c>
      <c r="D10" s="5" t="s">
        <v>58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26188759</v>
      </c>
      <c r="C11" s="10" t="s">
        <v>99</v>
      </c>
      <c r="D11" s="9" t="s">
        <v>58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26188759</v>
      </c>
      <c r="C12" s="6" t="s">
        <v>99</v>
      </c>
      <c r="D12" s="5" t="s">
        <v>58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26188759</v>
      </c>
      <c r="C13" s="10" t="s">
        <v>99</v>
      </c>
      <c r="D13" s="9" t="s">
        <v>58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26188759</v>
      </c>
      <c r="C14" s="6" t="s">
        <v>99</v>
      </c>
      <c r="D14" s="5" t="s">
        <v>58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26188759</v>
      </c>
      <c r="C15" s="10" t="s">
        <v>99</v>
      </c>
      <c r="D15" s="9" t="s">
        <v>58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26188759</v>
      </c>
      <c r="C16" s="6" t="s">
        <v>99</v>
      </c>
      <c r="D16" s="5" t="s">
        <v>58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26188759</v>
      </c>
      <c r="C17" s="10" t="s">
        <v>99</v>
      </c>
      <c r="D17" s="9" t="s">
        <v>58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26188759</v>
      </c>
      <c r="C18" s="6" t="s">
        <v>99</v>
      </c>
      <c r="D18" s="5" t="s">
        <v>58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26188759</v>
      </c>
      <c r="C19" s="10" t="s">
        <v>99</v>
      </c>
      <c r="D19" s="9" t="s">
        <v>58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26188759</v>
      </c>
      <c r="C20" s="6" t="s">
        <v>99</v>
      </c>
      <c r="D20" s="5" t="s">
        <v>58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26188759</v>
      </c>
      <c r="C21" s="10" t="s">
        <v>99</v>
      </c>
      <c r="D21" s="9" t="s">
        <v>58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26188759</v>
      </c>
      <c r="C22" s="6" t="s">
        <v>99</v>
      </c>
      <c r="D22" s="5" t="s">
        <v>58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300-000000000000}">
      <formula1>"SIM,NÃO"</formula1>
    </dataValidation>
    <dataValidation type="list" allowBlank="1" sqref="J8:J22" xr:uid="{00000000-0002-0000-3300-000001000000}">
      <formula1>"JANEIRO,FEVEREIRO,MARÇO,ABRIL,MAIO,JUNHO,JULHO,AGOSTO,SETEMBRO,OUTUBRO,NOVEMBRO,DEZEMBRO"</formula1>
    </dataValidation>
    <dataValidation type="list" allowBlank="1" sqref="L8:L22" xr:uid="{00000000-0002-0000-3300-000002000000}">
      <formula1>"doença,Questões de saúde,Evasão escolar,Mudança de domicílio,Dificuldade de acesso/transporte,Outros"</formula1>
    </dataValidation>
    <dataValidation type="list" allowBlank="1" sqref="M8:M22" xr:uid="{00000000-0002-0000-3300-000003000000}">
      <formula1>"PESSOALMENTE,TELEFONE,WHATSAPP,VISITA DOMICILIAR,OUTRO"</formula1>
    </dataValidation>
    <dataValidation type="list" allowBlank="1" sqref="O8:O22" xr:uid="{00000000-0002-0000-33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248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249</v>
      </c>
      <c r="E4" s="1" t="s">
        <v>250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26188589</v>
      </c>
      <c r="C8" s="6" t="s">
        <v>99</v>
      </c>
      <c r="D8" s="5" t="s">
        <v>59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26188589</v>
      </c>
      <c r="C9" s="10" t="s">
        <v>99</v>
      </c>
      <c r="D9" s="9" t="s">
        <v>59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26188589</v>
      </c>
      <c r="C10" s="6" t="s">
        <v>99</v>
      </c>
      <c r="D10" s="5" t="s">
        <v>59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26188589</v>
      </c>
      <c r="C11" s="10" t="s">
        <v>99</v>
      </c>
      <c r="D11" s="9" t="s">
        <v>59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26188589</v>
      </c>
      <c r="C12" s="6" t="s">
        <v>99</v>
      </c>
      <c r="D12" s="5" t="s">
        <v>59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26188589</v>
      </c>
      <c r="C13" s="10" t="s">
        <v>99</v>
      </c>
      <c r="D13" s="9" t="s">
        <v>59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26188589</v>
      </c>
      <c r="C14" s="6" t="s">
        <v>99</v>
      </c>
      <c r="D14" s="5" t="s">
        <v>59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26188589</v>
      </c>
      <c r="C15" s="10" t="s">
        <v>99</v>
      </c>
      <c r="D15" s="9" t="s">
        <v>59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26188589</v>
      </c>
      <c r="C16" s="6" t="s">
        <v>99</v>
      </c>
      <c r="D16" s="5" t="s">
        <v>59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26188589</v>
      </c>
      <c r="C17" s="10" t="s">
        <v>99</v>
      </c>
      <c r="D17" s="9" t="s">
        <v>59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26188589</v>
      </c>
      <c r="C18" s="6" t="s">
        <v>99</v>
      </c>
      <c r="D18" s="5" t="s">
        <v>59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26188589</v>
      </c>
      <c r="C19" s="10" t="s">
        <v>99</v>
      </c>
      <c r="D19" s="9" t="s">
        <v>59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26188589</v>
      </c>
      <c r="C20" s="6" t="s">
        <v>99</v>
      </c>
      <c r="D20" s="5" t="s">
        <v>59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26188589</v>
      </c>
      <c r="C21" s="10" t="s">
        <v>99</v>
      </c>
      <c r="D21" s="9" t="s">
        <v>59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26188589</v>
      </c>
      <c r="C22" s="6" t="s">
        <v>99</v>
      </c>
      <c r="D22" s="5" t="s">
        <v>59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400-000000000000}">
      <formula1>"SIM,NÃO"</formula1>
    </dataValidation>
    <dataValidation type="list" allowBlank="1" sqref="J8:J22" xr:uid="{00000000-0002-0000-3400-000001000000}">
      <formula1>"JANEIRO,FEVEREIRO,MARÇO,ABRIL,MAIO,JUNHO,JULHO,AGOSTO,SETEMBRO,OUTUBRO,NOVEMBRO,DEZEMBRO"</formula1>
    </dataValidation>
    <dataValidation type="list" allowBlank="1" sqref="L8:L22" xr:uid="{00000000-0002-0000-3400-000002000000}">
      <formula1>"doença,Questões de saúde,Evasão escolar,Mudança de domicílio,Dificuldade de acesso/transporte,Outros"</formula1>
    </dataValidation>
    <dataValidation type="list" allowBlank="1" sqref="M8:M22" xr:uid="{00000000-0002-0000-3400-000003000000}">
      <formula1>"PESSOALMENTE,TELEFONE,WHATSAPP,VISITA DOMICILIAR,OUTRO"</formula1>
    </dataValidation>
    <dataValidation type="list" allowBlank="1" sqref="O8:O22" xr:uid="{00000000-0002-0000-34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251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252</v>
      </c>
      <c r="E4" s="1" t="s">
        <v>253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26184168</v>
      </c>
      <c r="C8" s="6" t="s">
        <v>99</v>
      </c>
      <c r="D8" s="5" t="s">
        <v>60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26184168</v>
      </c>
      <c r="C9" s="10" t="s">
        <v>99</v>
      </c>
      <c r="D9" s="9" t="s">
        <v>60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26184168</v>
      </c>
      <c r="C10" s="6" t="s">
        <v>99</v>
      </c>
      <c r="D10" s="5" t="s">
        <v>60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26184168</v>
      </c>
      <c r="C11" s="10" t="s">
        <v>99</v>
      </c>
      <c r="D11" s="9" t="s">
        <v>60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26184168</v>
      </c>
      <c r="C12" s="6" t="s">
        <v>99</v>
      </c>
      <c r="D12" s="5" t="s">
        <v>60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26184168</v>
      </c>
      <c r="C13" s="10" t="s">
        <v>99</v>
      </c>
      <c r="D13" s="9" t="s">
        <v>60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26184168</v>
      </c>
      <c r="C14" s="6" t="s">
        <v>99</v>
      </c>
      <c r="D14" s="5" t="s">
        <v>60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26184168</v>
      </c>
      <c r="C15" s="10" t="s">
        <v>99</v>
      </c>
      <c r="D15" s="9" t="s">
        <v>60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26184168</v>
      </c>
      <c r="C16" s="6" t="s">
        <v>99</v>
      </c>
      <c r="D16" s="5" t="s">
        <v>60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26184168</v>
      </c>
      <c r="C17" s="10" t="s">
        <v>99</v>
      </c>
      <c r="D17" s="9" t="s">
        <v>60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26184168</v>
      </c>
      <c r="C18" s="6" t="s">
        <v>99</v>
      </c>
      <c r="D18" s="5" t="s">
        <v>60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26184168</v>
      </c>
      <c r="C19" s="10" t="s">
        <v>99</v>
      </c>
      <c r="D19" s="9" t="s">
        <v>60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26184168</v>
      </c>
      <c r="C20" s="6" t="s">
        <v>99</v>
      </c>
      <c r="D20" s="5" t="s">
        <v>60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26184168</v>
      </c>
      <c r="C21" s="10" t="s">
        <v>99</v>
      </c>
      <c r="D21" s="9" t="s">
        <v>60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26184168</v>
      </c>
      <c r="C22" s="6" t="s">
        <v>99</v>
      </c>
      <c r="D22" s="5" t="s">
        <v>60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500-000000000000}">
      <formula1>"SIM,NÃO"</formula1>
    </dataValidation>
    <dataValidation type="list" allowBlank="1" sqref="J8:J22" xr:uid="{00000000-0002-0000-3500-000001000000}">
      <formula1>"JANEIRO,FEVEREIRO,MARÇO,ABRIL,MAIO,JUNHO,JULHO,AGOSTO,SETEMBRO,OUTUBRO,NOVEMBRO,DEZEMBRO"</formula1>
    </dataValidation>
    <dataValidation type="list" allowBlank="1" sqref="L8:L22" xr:uid="{00000000-0002-0000-3500-000002000000}">
      <formula1>"doença,Questões de saúde,Evasão escolar,Mudança de domicílio,Dificuldade de acesso/transporte,Outros"</formula1>
    </dataValidation>
    <dataValidation type="list" allowBlank="1" sqref="M8:M22" xr:uid="{00000000-0002-0000-3500-000003000000}">
      <formula1>"PESSOALMENTE,TELEFONE,WHATSAPP,VISITA DOMICILIAR,OUTRO"</formula1>
    </dataValidation>
    <dataValidation type="list" allowBlank="1" sqref="O8:O22" xr:uid="{00000000-0002-0000-35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254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255</v>
      </c>
      <c r="E4" s="1" t="s">
        <v>256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26188546</v>
      </c>
      <c r="C8" s="6" t="s">
        <v>99</v>
      </c>
      <c r="D8" s="5" t="s">
        <v>61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26188546</v>
      </c>
      <c r="C9" s="10" t="s">
        <v>99</v>
      </c>
      <c r="D9" s="9" t="s">
        <v>61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26188546</v>
      </c>
      <c r="C10" s="6" t="s">
        <v>99</v>
      </c>
      <c r="D10" s="5" t="s">
        <v>61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26188546</v>
      </c>
      <c r="C11" s="10" t="s">
        <v>99</v>
      </c>
      <c r="D11" s="9" t="s">
        <v>61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26188546</v>
      </c>
      <c r="C12" s="6" t="s">
        <v>99</v>
      </c>
      <c r="D12" s="5" t="s">
        <v>61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26188546</v>
      </c>
      <c r="C13" s="10" t="s">
        <v>99</v>
      </c>
      <c r="D13" s="9" t="s">
        <v>61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26188546</v>
      </c>
      <c r="C14" s="6" t="s">
        <v>99</v>
      </c>
      <c r="D14" s="5" t="s">
        <v>61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26188546</v>
      </c>
      <c r="C15" s="10" t="s">
        <v>99</v>
      </c>
      <c r="D15" s="9" t="s">
        <v>61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26188546</v>
      </c>
      <c r="C16" s="6" t="s">
        <v>99</v>
      </c>
      <c r="D16" s="5" t="s">
        <v>61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26188546</v>
      </c>
      <c r="C17" s="10" t="s">
        <v>99</v>
      </c>
      <c r="D17" s="9" t="s">
        <v>61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26188546</v>
      </c>
      <c r="C18" s="6" t="s">
        <v>99</v>
      </c>
      <c r="D18" s="5" t="s">
        <v>61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26188546</v>
      </c>
      <c r="C19" s="10" t="s">
        <v>99</v>
      </c>
      <c r="D19" s="9" t="s">
        <v>61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26188546</v>
      </c>
      <c r="C20" s="6" t="s">
        <v>99</v>
      </c>
      <c r="D20" s="5" t="s">
        <v>61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26188546</v>
      </c>
      <c r="C21" s="10" t="s">
        <v>99</v>
      </c>
      <c r="D21" s="9" t="s">
        <v>61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26188546</v>
      </c>
      <c r="C22" s="6" t="s">
        <v>99</v>
      </c>
      <c r="D22" s="5" t="s">
        <v>61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600-000000000000}">
      <formula1>"SIM,NÃO"</formula1>
    </dataValidation>
    <dataValidation type="list" allowBlank="1" sqref="J8:J22" xr:uid="{00000000-0002-0000-3600-000001000000}">
      <formula1>"JANEIRO,FEVEREIRO,MARÇO,ABRIL,MAIO,JUNHO,JULHO,AGOSTO,SETEMBRO,OUTUBRO,NOVEMBRO,DEZEMBRO"</formula1>
    </dataValidation>
    <dataValidation type="list" allowBlank="1" sqref="L8:L22" xr:uid="{00000000-0002-0000-3600-000002000000}">
      <formula1>"doença,Questões de saúde,Evasão escolar,Mudança de domicílio,Dificuldade de acesso/transporte,Outros"</formula1>
    </dataValidation>
    <dataValidation type="list" allowBlank="1" sqref="M8:M22" xr:uid="{00000000-0002-0000-3600-000003000000}">
      <formula1>"PESSOALMENTE,TELEFONE,WHATSAPP,VISITA DOMICILIAR,OUTRO"</formula1>
    </dataValidation>
    <dataValidation type="list" allowBlank="1" sqref="O8:O22" xr:uid="{00000000-0002-0000-36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257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258</v>
      </c>
      <c r="E4" s="1" t="s">
        <v>259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26117509</v>
      </c>
      <c r="C8" s="6" t="s">
        <v>99</v>
      </c>
      <c r="D8" s="5" t="s">
        <v>62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26117509</v>
      </c>
      <c r="C9" s="10" t="s">
        <v>99</v>
      </c>
      <c r="D9" s="9" t="s">
        <v>62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26117509</v>
      </c>
      <c r="C10" s="6" t="s">
        <v>99</v>
      </c>
      <c r="D10" s="5" t="s">
        <v>62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26117509</v>
      </c>
      <c r="C11" s="10" t="s">
        <v>99</v>
      </c>
      <c r="D11" s="9" t="s">
        <v>62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26117509</v>
      </c>
      <c r="C12" s="6" t="s">
        <v>99</v>
      </c>
      <c r="D12" s="5" t="s">
        <v>62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26117509</v>
      </c>
      <c r="C13" s="10" t="s">
        <v>99</v>
      </c>
      <c r="D13" s="9" t="s">
        <v>62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26117509</v>
      </c>
      <c r="C14" s="6" t="s">
        <v>99</v>
      </c>
      <c r="D14" s="5" t="s">
        <v>62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26117509</v>
      </c>
      <c r="C15" s="10" t="s">
        <v>99</v>
      </c>
      <c r="D15" s="9" t="s">
        <v>62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26117509</v>
      </c>
      <c r="C16" s="6" t="s">
        <v>99</v>
      </c>
      <c r="D16" s="5" t="s">
        <v>62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26117509</v>
      </c>
      <c r="C17" s="10" t="s">
        <v>99</v>
      </c>
      <c r="D17" s="9" t="s">
        <v>62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26117509</v>
      </c>
      <c r="C18" s="6" t="s">
        <v>99</v>
      </c>
      <c r="D18" s="5" t="s">
        <v>62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26117509</v>
      </c>
      <c r="C19" s="10" t="s">
        <v>99</v>
      </c>
      <c r="D19" s="9" t="s">
        <v>62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26117509</v>
      </c>
      <c r="C20" s="6" t="s">
        <v>99</v>
      </c>
      <c r="D20" s="5" t="s">
        <v>62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26117509</v>
      </c>
      <c r="C21" s="10" t="s">
        <v>99</v>
      </c>
      <c r="D21" s="9" t="s">
        <v>62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26117509</v>
      </c>
      <c r="C22" s="6" t="s">
        <v>99</v>
      </c>
      <c r="D22" s="5" t="s">
        <v>62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700-000000000000}">
      <formula1>"SIM,NÃO"</formula1>
    </dataValidation>
    <dataValidation type="list" allowBlank="1" sqref="J8:J22" xr:uid="{00000000-0002-0000-3700-000001000000}">
      <formula1>"JANEIRO,FEVEREIRO,MARÇO,ABRIL,MAIO,JUNHO,JULHO,AGOSTO,SETEMBRO,OUTUBRO,NOVEMBRO,DEZEMBRO"</formula1>
    </dataValidation>
    <dataValidation type="list" allowBlank="1" sqref="L8:L22" xr:uid="{00000000-0002-0000-3700-000002000000}">
      <formula1>"doença,Questões de saúde,Evasão escolar,Mudança de domicílio,Dificuldade de acesso/transporte,Outros"</formula1>
    </dataValidation>
    <dataValidation type="list" allowBlank="1" sqref="M8:M22" xr:uid="{00000000-0002-0000-3700-000003000000}">
      <formula1>"PESSOALMENTE,TELEFONE,WHATSAPP,VISITA DOMICILIAR,OUTRO"</formula1>
    </dataValidation>
    <dataValidation type="list" allowBlank="1" sqref="O8:O22" xr:uid="{00000000-0002-0000-37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260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261</v>
      </c>
      <c r="E4" s="1" t="s">
        <v>262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26117339</v>
      </c>
      <c r="C8" s="6" t="s">
        <v>99</v>
      </c>
      <c r="D8" s="5" t="s">
        <v>63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26117339</v>
      </c>
      <c r="C9" s="10" t="s">
        <v>99</v>
      </c>
      <c r="D9" s="9" t="s">
        <v>63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26117339</v>
      </c>
      <c r="C10" s="6" t="s">
        <v>99</v>
      </c>
      <c r="D10" s="5" t="s">
        <v>63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26117339</v>
      </c>
      <c r="C11" s="10" t="s">
        <v>99</v>
      </c>
      <c r="D11" s="9" t="s">
        <v>63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26117339</v>
      </c>
      <c r="C12" s="6" t="s">
        <v>99</v>
      </c>
      <c r="D12" s="5" t="s">
        <v>63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26117339</v>
      </c>
      <c r="C13" s="10" t="s">
        <v>99</v>
      </c>
      <c r="D13" s="9" t="s">
        <v>63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26117339</v>
      </c>
      <c r="C14" s="6" t="s">
        <v>99</v>
      </c>
      <c r="D14" s="5" t="s">
        <v>63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26117339</v>
      </c>
      <c r="C15" s="10" t="s">
        <v>99</v>
      </c>
      <c r="D15" s="9" t="s">
        <v>63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26117339</v>
      </c>
      <c r="C16" s="6" t="s">
        <v>99</v>
      </c>
      <c r="D16" s="5" t="s">
        <v>63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26117339</v>
      </c>
      <c r="C17" s="10" t="s">
        <v>99</v>
      </c>
      <c r="D17" s="9" t="s">
        <v>63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26117339</v>
      </c>
      <c r="C18" s="6" t="s">
        <v>99</v>
      </c>
      <c r="D18" s="5" t="s">
        <v>63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26117339</v>
      </c>
      <c r="C19" s="10" t="s">
        <v>99</v>
      </c>
      <c r="D19" s="9" t="s">
        <v>63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26117339</v>
      </c>
      <c r="C20" s="6" t="s">
        <v>99</v>
      </c>
      <c r="D20" s="5" t="s">
        <v>63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26117339</v>
      </c>
      <c r="C21" s="10" t="s">
        <v>99</v>
      </c>
      <c r="D21" s="9" t="s">
        <v>63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26117339</v>
      </c>
      <c r="C22" s="6" t="s">
        <v>99</v>
      </c>
      <c r="D22" s="5" t="s">
        <v>63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800-000000000000}">
      <formula1>"SIM,NÃO"</formula1>
    </dataValidation>
    <dataValidation type="list" allowBlank="1" sqref="J8:J22" xr:uid="{00000000-0002-0000-3800-000001000000}">
      <formula1>"JANEIRO,FEVEREIRO,MARÇO,ABRIL,MAIO,JUNHO,JULHO,AGOSTO,SETEMBRO,OUTUBRO,NOVEMBRO,DEZEMBRO"</formula1>
    </dataValidation>
    <dataValidation type="list" allowBlank="1" sqref="L8:L22" xr:uid="{00000000-0002-0000-3800-000002000000}">
      <formula1>"doença,Questões de saúde,Evasão escolar,Mudança de domicílio,Dificuldade de acesso/transporte,Outros"</formula1>
    </dataValidation>
    <dataValidation type="list" allowBlank="1" sqref="M8:M22" xr:uid="{00000000-0002-0000-3800-000003000000}">
      <formula1>"PESSOALMENTE,TELEFONE,WHATSAPP,VISITA DOMICILIAR,OUTRO"</formula1>
    </dataValidation>
    <dataValidation type="list" allowBlank="1" sqref="O8:O22" xr:uid="{00000000-0002-0000-38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263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264</v>
      </c>
      <c r="E4" s="1" t="s">
        <v>265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26117380</v>
      </c>
      <c r="C8" s="6" t="s">
        <v>99</v>
      </c>
      <c r="D8" s="5" t="s">
        <v>64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26117380</v>
      </c>
      <c r="C9" s="10" t="s">
        <v>99</v>
      </c>
      <c r="D9" s="9" t="s">
        <v>64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26117380</v>
      </c>
      <c r="C10" s="6" t="s">
        <v>99</v>
      </c>
      <c r="D10" s="5" t="s">
        <v>64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26117380</v>
      </c>
      <c r="C11" s="10" t="s">
        <v>99</v>
      </c>
      <c r="D11" s="9" t="s">
        <v>64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26117380</v>
      </c>
      <c r="C12" s="6" t="s">
        <v>99</v>
      </c>
      <c r="D12" s="5" t="s">
        <v>64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26117380</v>
      </c>
      <c r="C13" s="10" t="s">
        <v>99</v>
      </c>
      <c r="D13" s="9" t="s">
        <v>64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26117380</v>
      </c>
      <c r="C14" s="6" t="s">
        <v>99</v>
      </c>
      <c r="D14" s="5" t="s">
        <v>64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26117380</v>
      </c>
      <c r="C15" s="10" t="s">
        <v>99</v>
      </c>
      <c r="D15" s="9" t="s">
        <v>64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26117380</v>
      </c>
      <c r="C16" s="6" t="s">
        <v>99</v>
      </c>
      <c r="D16" s="5" t="s">
        <v>64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26117380</v>
      </c>
      <c r="C17" s="10" t="s">
        <v>99</v>
      </c>
      <c r="D17" s="9" t="s">
        <v>64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26117380</v>
      </c>
      <c r="C18" s="6" t="s">
        <v>99</v>
      </c>
      <c r="D18" s="5" t="s">
        <v>64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26117380</v>
      </c>
      <c r="C19" s="10" t="s">
        <v>99</v>
      </c>
      <c r="D19" s="9" t="s">
        <v>64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26117380</v>
      </c>
      <c r="C20" s="6" t="s">
        <v>99</v>
      </c>
      <c r="D20" s="5" t="s">
        <v>64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26117380</v>
      </c>
      <c r="C21" s="10" t="s">
        <v>99</v>
      </c>
      <c r="D21" s="9" t="s">
        <v>64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26117380</v>
      </c>
      <c r="C22" s="6" t="s">
        <v>99</v>
      </c>
      <c r="D22" s="5" t="s">
        <v>64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900-000000000000}">
      <formula1>"SIM,NÃO"</formula1>
    </dataValidation>
    <dataValidation type="list" allowBlank="1" sqref="J8:J22" xr:uid="{00000000-0002-0000-3900-000001000000}">
      <formula1>"JANEIRO,FEVEREIRO,MARÇO,ABRIL,MAIO,JUNHO,JULHO,AGOSTO,SETEMBRO,OUTUBRO,NOVEMBRO,DEZEMBRO"</formula1>
    </dataValidation>
    <dataValidation type="list" allowBlank="1" sqref="L8:L22" xr:uid="{00000000-0002-0000-3900-000002000000}">
      <formula1>"doença,Questões de saúde,Evasão escolar,Mudança de domicílio,Dificuldade de acesso/transporte,Outros"</formula1>
    </dataValidation>
    <dataValidation type="list" allowBlank="1" sqref="M8:M22" xr:uid="{00000000-0002-0000-3900-000003000000}">
      <formula1>"PESSOALMENTE,TELEFONE,WHATSAPP,VISITA DOMICILIAR,OUTRO"</formula1>
    </dataValidation>
    <dataValidation type="list" allowBlank="1" sqref="O8:O22" xr:uid="{00000000-0002-0000-39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266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267</v>
      </c>
      <c r="E4" s="1" t="s">
        <v>268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26116618</v>
      </c>
      <c r="C8" s="6" t="s">
        <v>99</v>
      </c>
      <c r="D8" s="5" t="s">
        <v>65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26116618</v>
      </c>
      <c r="C9" s="10" t="s">
        <v>99</v>
      </c>
      <c r="D9" s="9" t="s">
        <v>65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26116618</v>
      </c>
      <c r="C10" s="6" t="s">
        <v>99</v>
      </c>
      <c r="D10" s="5" t="s">
        <v>65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26116618</v>
      </c>
      <c r="C11" s="10" t="s">
        <v>99</v>
      </c>
      <c r="D11" s="9" t="s">
        <v>65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26116618</v>
      </c>
      <c r="C12" s="6" t="s">
        <v>99</v>
      </c>
      <c r="D12" s="5" t="s">
        <v>65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26116618</v>
      </c>
      <c r="C13" s="10" t="s">
        <v>99</v>
      </c>
      <c r="D13" s="9" t="s">
        <v>65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26116618</v>
      </c>
      <c r="C14" s="6" t="s">
        <v>99</v>
      </c>
      <c r="D14" s="5" t="s">
        <v>65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26116618</v>
      </c>
      <c r="C15" s="10" t="s">
        <v>99</v>
      </c>
      <c r="D15" s="9" t="s">
        <v>65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26116618</v>
      </c>
      <c r="C16" s="6" t="s">
        <v>99</v>
      </c>
      <c r="D16" s="5" t="s">
        <v>65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26116618</v>
      </c>
      <c r="C17" s="10" t="s">
        <v>99</v>
      </c>
      <c r="D17" s="9" t="s">
        <v>65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26116618</v>
      </c>
      <c r="C18" s="6" t="s">
        <v>99</v>
      </c>
      <c r="D18" s="5" t="s">
        <v>65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26116618</v>
      </c>
      <c r="C19" s="10" t="s">
        <v>99</v>
      </c>
      <c r="D19" s="9" t="s">
        <v>65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26116618</v>
      </c>
      <c r="C20" s="6" t="s">
        <v>99</v>
      </c>
      <c r="D20" s="5" t="s">
        <v>65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26116618</v>
      </c>
      <c r="C21" s="10" t="s">
        <v>99</v>
      </c>
      <c r="D21" s="9" t="s">
        <v>65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26116618</v>
      </c>
      <c r="C22" s="6" t="s">
        <v>99</v>
      </c>
      <c r="D22" s="5" t="s">
        <v>65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A00-000000000000}">
      <formula1>"SIM,NÃO"</formula1>
    </dataValidation>
    <dataValidation type="list" allowBlank="1" sqref="J8:J22" xr:uid="{00000000-0002-0000-3A00-000001000000}">
      <formula1>"JANEIRO,FEVEREIRO,MARÇO,ABRIL,MAIO,JUNHO,JULHO,AGOSTO,SETEMBRO,OUTUBRO,NOVEMBRO,DEZEMBRO"</formula1>
    </dataValidation>
    <dataValidation type="list" allowBlank="1" sqref="L8:L22" xr:uid="{00000000-0002-0000-3A00-000002000000}">
      <formula1>"doença,Questões de saúde,Evasão escolar,Mudança de domicílio,Dificuldade de acesso/transporte,Outros"</formula1>
    </dataValidation>
    <dataValidation type="list" allowBlank="1" sqref="M8:M22" xr:uid="{00000000-0002-0000-3A00-000003000000}">
      <formula1>"PESSOALMENTE,TELEFONE,WHATSAPP,VISITA DOMICILIAR,OUTRO"</formula1>
    </dataValidation>
    <dataValidation type="list" allowBlank="1" sqref="O8:O22" xr:uid="{00000000-0002-0000-3A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269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270</v>
      </c>
      <c r="E4" s="1" t="s">
        <v>271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26116235</v>
      </c>
      <c r="C8" s="6" t="s">
        <v>99</v>
      </c>
      <c r="D8" s="5" t="s">
        <v>66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26116235</v>
      </c>
      <c r="C9" s="10" t="s">
        <v>99</v>
      </c>
      <c r="D9" s="9" t="s">
        <v>66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26116235</v>
      </c>
      <c r="C10" s="6" t="s">
        <v>99</v>
      </c>
      <c r="D10" s="5" t="s">
        <v>66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26116235</v>
      </c>
      <c r="C11" s="10" t="s">
        <v>99</v>
      </c>
      <c r="D11" s="9" t="s">
        <v>66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26116235</v>
      </c>
      <c r="C12" s="6" t="s">
        <v>99</v>
      </c>
      <c r="D12" s="5" t="s">
        <v>66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26116235</v>
      </c>
      <c r="C13" s="10" t="s">
        <v>99</v>
      </c>
      <c r="D13" s="9" t="s">
        <v>66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26116235</v>
      </c>
      <c r="C14" s="6" t="s">
        <v>99</v>
      </c>
      <c r="D14" s="5" t="s">
        <v>66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26116235</v>
      </c>
      <c r="C15" s="10" t="s">
        <v>99</v>
      </c>
      <c r="D15" s="9" t="s">
        <v>66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26116235</v>
      </c>
      <c r="C16" s="6" t="s">
        <v>99</v>
      </c>
      <c r="D16" s="5" t="s">
        <v>66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26116235</v>
      </c>
      <c r="C17" s="10" t="s">
        <v>99</v>
      </c>
      <c r="D17" s="9" t="s">
        <v>66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26116235</v>
      </c>
      <c r="C18" s="6" t="s">
        <v>99</v>
      </c>
      <c r="D18" s="5" t="s">
        <v>66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26116235</v>
      </c>
      <c r="C19" s="10" t="s">
        <v>99</v>
      </c>
      <c r="D19" s="9" t="s">
        <v>66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26116235</v>
      </c>
      <c r="C20" s="6" t="s">
        <v>99</v>
      </c>
      <c r="D20" s="5" t="s">
        <v>66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26116235</v>
      </c>
      <c r="C21" s="10" t="s">
        <v>99</v>
      </c>
      <c r="D21" s="9" t="s">
        <v>66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26116235</v>
      </c>
      <c r="C22" s="6" t="s">
        <v>99</v>
      </c>
      <c r="D22" s="5" t="s">
        <v>66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B00-000000000000}">
      <formula1>"SIM,NÃO"</formula1>
    </dataValidation>
    <dataValidation type="list" allowBlank="1" sqref="J8:J22" xr:uid="{00000000-0002-0000-3B00-000001000000}">
      <formula1>"JANEIRO,FEVEREIRO,MARÇO,ABRIL,MAIO,JUNHO,JULHO,AGOSTO,SETEMBRO,OUTUBRO,NOVEMBRO,DEZEMBRO"</formula1>
    </dataValidation>
    <dataValidation type="list" allowBlank="1" sqref="L8:L22" xr:uid="{00000000-0002-0000-3B00-000002000000}">
      <formula1>"doença,Questões de saúde,Evasão escolar,Mudança de domicílio,Dificuldade de acesso/transporte,Outros"</formula1>
    </dataValidation>
    <dataValidation type="list" allowBlank="1" sqref="M8:M22" xr:uid="{00000000-0002-0000-3B00-000003000000}">
      <formula1>"PESSOALMENTE,TELEFONE,WHATSAPP,VISITA DOMICILIAR,OUTRO"</formula1>
    </dataValidation>
    <dataValidation type="list" allowBlank="1" sqref="O8:O22" xr:uid="{00000000-0002-0000-3B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272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273</v>
      </c>
      <c r="E4" s="1" t="s">
        <v>274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26116952</v>
      </c>
      <c r="C8" s="6" t="s">
        <v>99</v>
      </c>
      <c r="D8" s="5" t="s">
        <v>67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26116952</v>
      </c>
      <c r="C9" s="10" t="s">
        <v>99</v>
      </c>
      <c r="D9" s="9" t="s">
        <v>67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26116952</v>
      </c>
      <c r="C10" s="6" t="s">
        <v>99</v>
      </c>
      <c r="D10" s="5" t="s">
        <v>67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26116952</v>
      </c>
      <c r="C11" s="10" t="s">
        <v>99</v>
      </c>
      <c r="D11" s="9" t="s">
        <v>67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26116952</v>
      </c>
      <c r="C12" s="6" t="s">
        <v>99</v>
      </c>
      <c r="D12" s="5" t="s">
        <v>67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26116952</v>
      </c>
      <c r="C13" s="10" t="s">
        <v>99</v>
      </c>
      <c r="D13" s="9" t="s">
        <v>67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26116952</v>
      </c>
      <c r="C14" s="6" t="s">
        <v>99</v>
      </c>
      <c r="D14" s="5" t="s">
        <v>67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26116952</v>
      </c>
      <c r="C15" s="10" t="s">
        <v>99</v>
      </c>
      <c r="D15" s="9" t="s">
        <v>67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26116952</v>
      </c>
      <c r="C16" s="6" t="s">
        <v>99</v>
      </c>
      <c r="D16" s="5" t="s">
        <v>67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26116952</v>
      </c>
      <c r="C17" s="10" t="s">
        <v>99</v>
      </c>
      <c r="D17" s="9" t="s">
        <v>67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26116952</v>
      </c>
      <c r="C18" s="6" t="s">
        <v>99</v>
      </c>
      <c r="D18" s="5" t="s">
        <v>67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26116952</v>
      </c>
      <c r="C19" s="10" t="s">
        <v>99</v>
      </c>
      <c r="D19" s="9" t="s">
        <v>67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26116952</v>
      </c>
      <c r="C20" s="6" t="s">
        <v>99</v>
      </c>
      <c r="D20" s="5" t="s">
        <v>67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26116952</v>
      </c>
      <c r="C21" s="10" t="s">
        <v>99</v>
      </c>
      <c r="D21" s="9" t="s">
        <v>67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26116952</v>
      </c>
      <c r="C22" s="6" t="s">
        <v>99</v>
      </c>
      <c r="D22" s="5" t="s">
        <v>67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C00-000000000000}">
      <formula1>"SIM,NÃO"</formula1>
    </dataValidation>
    <dataValidation type="list" allowBlank="1" sqref="J8:J22" xr:uid="{00000000-0002-0000-3C00-000001000000}">
      <formula1>"JANEIRO,FEVEREIRO,MARÇO,ABRIL,MAIO,JUNHO,JULHO,AGOSTO,SETEMBRO,OUTUBRO,NOVEMBRO,DEZEMBRO"</formula1>
    </dataValidation>
    <dataValidation type="list" allowBlank="1" sqref="L8:L22" xr:uid="{00000000-0002-0000-3C00-000002000000}">
      <formula1>"doença,Questões de saúde,Evasão escolar,Mudança de domicílio,Dificuldade de acesso/transporte,Outros"</formula1>
    </dataValidation>
    <dataValidation type="list" allowBlank="1" sqref="M8:M22" xr:uid="{00000000-0002-0000-3C00-000003000000}">
      <formula1>"PESSOALMENTE,TELEFONE,WHATSAPP,VISITA DOMICILIAR,OUTRO"</formula1>
    </dataValidation>
    <dataValidation type="list" allowBlank="1" sqref="O8:O22" xr:uid="{00000000-0002-0000-3C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275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276</v>
      </c>
      <c r="E4" s="1" t="s">
        <v>277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26117053</v>
      </c>
      <c r="C8" s="6" t="s">
        <v>99</v>
      </c>
      <c r="D8" s="5" t="s">
        <v>68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26117053</v>
      </c>
      <c r="C9" s="10" t="s">
        <v>99</v>
      </c>
      <c r="D9" s="9" t="s">
        <v>68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26117053</v>
      </c>
      <c r="C10" s="6" t="s">
        <v>99</v>
      </c>
      <c r="D10" s="5" t="s">
        <v>68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26117053</v>
      </c>
      <c r="C11" s="10" t="s">
        <v>99</v>
      </c>
      <c r="D11" s="9" t="s">
        <v>68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26117053</v>
      </c>
      <c r="C12" s="6" t="s">
        <v>99</v>
      </c>
      <c r="D12" s="5" t="s">
        <v>68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26117053</v>
      </c>
      <c r="C13" s="10" t="s">
        <v>99</v>
      </c>
      <c r="D13" s="9" t="s">
        <v>68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26117053</v>
      </c>
      <c r="C14" s="6" t="s">
        <v>99</v>
      </c>
      <c r="D14" s="5" t="s">
        <v>68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26117053</v>
      </c>
      <c r="C15" s="10" t="s">
        <v>99</v>
      </c>
      <c r="D15" s="9" t="s">
        <v>68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26117053</v>
      </c>
      <c r="C16" s="6" t="s">
        <v>99</v>
      </c>
      <c r="D16" s="5" t="s">
        <v>68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26117053</v>
      </c>
      <c r="C17" s="10" t="s">
        <v>99</v>
      </c>
      <c r="D17" s="9" t="s">
        <v>68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26117053</v>
      </c>
      <c r="C18" s="6" t="s">
        <v>99</v>
      </c>
      <c r="D18" s="5" t="s">
        <v>68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26117053</v>
      </c>
      <c r="C19" s="10" t="s">
        <v>99</v>
      </c>
      <c r="D19" s="9" t="s">
        <v>68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26117053</v>
      </c>
      <c r="C20" s="6" t="s">
        <v>99</v>
      </c>
      <c r="D20" s="5" t="s">
        <v>68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26117053</v>
      </c>
      <c r="C21" s="10" t="s">
        <v>99</v>
      </c>
      <c r="D21" s="9" t="s">
        <v>68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26117053</v>
      </c>
      <c r="C22" s="6" t="s">
        <v>99</v>
      </c>
      <c r="D22" s="5" t="s">
        <v>68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D00-000000000000}">
      <formula1>"SIM,NÃO"</formula1>
    </dataValidation>
    <dataValidation type="list" allowBlank="1" sqref="J8:J22" xr:uid="{00000000-0002-0000-3D00-000001000000}">
      <formula1>"JANEIRO,FEVEREIRO,MARÇO,ABRIL,MAIO,JUNHO,JULHO,AGOSTO,SETEMBRO,OUTUBRO,NOVEMBRO,DEZEMBRO"</formula1>
    </dataValidation>
    <dataValidation type="list" allowBlank="1" sqref="L8:L22" xr:uid="{00000000-0002-0000-3D00-000002000000}">
      <formula1>"doença,Questões de saúde,Evasão escolar,Mudança de domicílio,Dificuldade de acesso/transporte,Outros"</formula1>
    </dataValidation>
    <dataValidation type="list" allowBlank="1" sqref="M8:M22" xr:uid="{00000000-0002-0000-3D00-000003000000}">
      <formula1>"PESSOALMENTE,TELEFONE,WHATSAPP,VISITA DOMICILIAR,OUTRO"</formula1>
    </dataValidation>
    <dataValidation type="list" allowBlank="1" sqref="O8:O22" xr:uid="{00000000-0002-0000-3D00-000004000000}">
      <formula1>"FREQUENTE,INFREQUENTE,EVADIDO,TRANSFERIDO,NÃO LOCALIZADO"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P22"/>
  <sheetViews>
    <sheetView showGridLines="0" workbookViewId="0">
      <pane ySplit="7" topLeftCell="A8" activePane="bottomLeft" state="frozen"/>
      <selection activeCell="F9" sqref="F9"/>
      <selection pane="bottomLeft" activeCell="F9" sqref="F9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35" customWidth="1"/>
    <col min="5" max="6" width="28" customWidth="1"/>
    <col min="7" max="9" width="25" customWidth="1"/>
    <col min="10" max="10" width="15" customWidth="1"/>
    <col min="11" max="11" width="18" customWidth="1"/>
    <col min="12" max="13" width="25" customWidth="1"/>
    <col min="14" max="14" width="30" customWidth="1"/>
    <col min="15" max="15" width="22" customWidth="1"/>
    <col min="16" max="16" width="35" customWidth="1"/>
  </cols>
  <sheetData>
    <row r="2" spans="1:16" ht="35.1" customHeight="1" x14ac:dyDescent="0.25">
      <c r="A2" s="19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100000000000001" customHeight="1" x14ac:dyDescent="0.25">
      <c r="A3" s="1" t="s">
        <v>76</v>
      </c>
      <c r="E3" s="1" t="s">
        <v>77</v>
      </c>
      <c r="F3" s="1"/>
      <c r="J3" s="1" t="s">
        <v>278</v>
      </c>
      <c r="N3" s="16" t="str">
        <f>HYPERLINK("#'SUMÁRIO'!A1", "« Voltar ao Sumário")</f>
        <v>« Voltar ao Sumário</v>
      </c>
    </row>
    <row r="4" spans="1:16" ht="20.100000000000001" customHeight="1" x14ac:dyDescent="0.25">
      <c r="A4" s="1" t="s">
        <v>279</v>
      </c>
      <c r="E4" s="1" t="s">
        <v>280</v>
      </c>
      <c r="F4" s="1"/>
    </row>
    <row r="5" spans="1:16" ht="18" customHeight="1" x14ac:dyDescent="0.25">
      <c r="A5" s="22" t="s">
        <v>81</v>
      </c>
      <c r="B5" s="23"/>
      <c r="C5" s="23"/>
      <c r="E5" s="22" t="s">
        <v>82</v>
      </c>
      <c r="F5" s="22"/>
      <c r="G5" s="23"/>
      <c r="H5" s="23"/>
      <c r="J5" s="22" t="s">
        <v>83</v>
      </c>
      <c r="K5" s="23"/>
      <c r="L5" s="23"/>
    </row>
    <row r="6" spans="1:16" ht="24" customHeight="1" x14ac:dyDescent="0.25">
      <c r="A6" s="24">
        <f>COUNTA(E8:E22)</f>
        <v>0</v>
      </c>
      <c r="B6" s="23"/>
      <c r="C6" s="23"/>
      <c r="E6" s="24">
        <f>COUNTIF(H8:H22, "SIM")</f>
        <v>0</v>
      </c>
      <c r="F6" s="24"/>
      <c r="G6" s="23"/>
      <c r="H6" s="23"/>
      <c r="J6" s="24">
        <f>COUNTIF(L8:L22, "doença") + COUNTIF(L8:L22, "Questões de saúde")</f>
        <v>0</v>
      </c>
      <c r="K6" s="23"/>
      <c r="L6" s="23"/>
    </row>
    <row r="7" spans="1:16" ht="39.950000000000003" customHeight="1" x14ac:dyDescent="0.25">
      <c r="A7" s="3" t="s">
        <v>84</v>
      </c>
      <c r="B7" s="3" t="s">
        <v>3</v>
      </c>
      <c r="C7" s="3" t="s">
        <v>85</v>
      </c>
      <c r="D7" s="3" t="s">
        <v>86</v>
      </c>
      <c r="E7" s="3" t="s">
        <v>87</v>
      </c>
      <c r="F7" s="3" t="s">
        <v>281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</row>
    <row r="8" spans="1:16" ht="24" customHeight="1" x14ac:dyDescent="0.25">
      <c r="A8" s="5" t="s">
        <v>98</v>
      </c>
      <c r="B8" s="4">
        <v>26190486</v>
      </c>
      <c r="C8" s="6" t="s">
        <v>99</v>
      </c>
      <c r="D8" s="5" t="s">
        <v>69</v>
      </c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8"/>
    </row>
    <row r="9" spans="1:16" ht="24" customHeight="1" x14ac:dyDescent="0.25">
      <c r="A9" s="9" t="s">
        <v>98</v>
      </c>
      <c r="B9" s="8">
        <v>26190486</v>
      </c>
      <c r="C9" s="10" t="s">
        <v>99</v>
      </c>
      <c r="D9" s="9" t="s">
        <v>69</v>
      </c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8"/>
    </row>
    <row r="10" spans="1:16" ht="24" customHeight="1" x14ac:dyDescent="0.25">
      <c r="A10" s="5" t="s">
        <v>98</v>
      </c>
      <c r="B10" s="4">
        <v>26190486</v>
      </c>
      <c r="C10" s="6" t="s">
        <v>99</v>
      </c>
      <c r="D10" s="5" t="s">
        <v>69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8"/>
    </row>
    <row r="11" spans="1:16" ht="24" customHeight="1" x14ac:dyDescent="0.25">
      <c r="A11" s="9" t="s">
        <v>98</v>
      </c>
      <c r="B11" s="8">
        <v>26190486</v>
      </c>
      <c r="C11" s="10" t="s">
        <v>99</v>
      </c>
      <c r="D11" s="9" t="s">
        <v>69</v>
      </c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8"/>
    </row>
    <row r="12" spans="1:16" ht="24" customHeight="1" x14ac:dyDescent="0.25">
      <c r="A12" s="5" t="s">
        <v>98</v>
      </c>
      <c r="B12" s="4">
        <v>26190486</v>
      </c>
      <c r="C12" s="6" t="s">
        <v>99</v>
      </c>
      <c r="D12" s="5" t="s">
        <v>69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8"/>
    </row>
    <row r="13" spans="1:16" ht="24" customHeight="1" x14ac:dyDescent="0.25">
      <c r="A13" s="9" t="s">
        <v>98</v>
      </c>
      <c r="B13" s="8">
        <v>26190486</v>
      </c>
      <c r="C13" s="10" t="s">
        <v>99</v>
      </c>
      <c r="D13" s="9" t="s">
        <v>69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8"/>
    </row>
    <row r="14" spans="1:16" ht="24" customHeight="1" x14ac:dyDescent="0.25">
      <c r="A14" s="5" t="s">
        <v>98</v>
      </c>
      <c r="B14" s="4">
        <v>26190486</v>
      </c>
      <c r="C14" s="6" t="s">
        <v>99</v>
      </c>
      <c r="D14" s="5" t="s">
        <v>69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8"/>
    </row>
    <row r="15" spans="1:16" ht="24" customHeight="1" x14ac:dyDescent="0.25">
      <c r="A15" s="9" t="s">
        <v>98</v>
      </c>
      <c r="B15" s="8">
        <v>26190486</v>
      </c>
      <c r="C15" s="10" t="s">
        <v>99</v>
      </c>
      <c r="D15" s="9" t="s">
        <v>69</v>
      </c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8"/>
    </row>
    <row r="16" spans="1:16" ht="24" customHeight="1" x14ac:dyDescent="0.25">
      <c r="A16" s="5" t="s">
        <v>98</v>
      </c>
      <c r="B16" s="4">
        <v>26190486</v>
      </c>
      <c r="C16" s="6" t="s">
        <v>99</v>
      </c>
      <c r="D16" s="5" t="s">
        <v>69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8"/>
    </row>
    <row r="17" spans="1:16" ht="24" customHeight="1" x14ac:dyDescent="0.25">
      <c r="A17" s="9" t="s">
        <v>98</v>
      </c>
      <c r="B17" s="8">
        <v>26190486</v>
      </c>
      <c r="C17" s="10" t="s">
        <v>99</v>
      </c>
      <c r="D17" s="9" t="s">
        <v>69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8"/>
    </row>
    <row r="18" spans="1:16" ht="24" customHeight="1" x14ac:dyDescent="0.25">
      <c r="A18" s="5" t="s">
        <v>98</v>
      </c>
      <c r="B18" s="4">
        <v>26190486</v>
      </c>
      <c r="C18" s="6" t="s">
        <v>99</v>
      </c>
      <c r="D18" s="5" t="s">
        <v>69</v>
      </c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8"/>
    </row>
    <row r="19" spans="1:16" ht="24" customHeight="1" x14ac:dyDescent="0.25">
      <c r="A19" s="9" t="s">
        <v>98</v>
      </c>
      <c r="B19" s="8">
        <v>26190486</v>
      </c>
      <c r="C19" s="10" t="s">
        <v>99</v>
      </c>
      <c r="D19" s="9" t="s">
        <v>69</v>
      </c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8"/>
    </row>
    <row r="20" spans="1:16" ht="24" customHeight="1" x14ac:dyDescent="0.25">
      <c r="A20" s="5" t="s">
        <v>98</v>
      </c>
      <c r="B20" s="4">
        <v>26190486</v>
      </c>
      <c r="C20" s="6" t="s">
        <v>99</v>
      </c>
      <c r="D20" s="5" t="s">
        <v>69</v>
      </c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8"/>
    </row>
    <row r="21" spans="1:16" ht="24" customHeight="1" x14ac:dyDescent="0.25">
      <c r="A21" s="9" t="s">
        <v>98</v>
      </c>
      <c r="B21" s="8">
        <v>26190486</v>
      </c>
      <c r="C21" s="10" t="s">
        <v>99</v>
      </c>
      <c r="D21" s="9" t="s">
        <v>69</v>
      </c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8"/>
    </row>
    <row r="22" spans="1:16" ht="24" customHeight="1" x14ac:dyDescent="0.25">
      <c r="A22" s="5" t="s">
        <v>98</v>
      </c>
      <c r="B22" s="4">
        <v>26190486</v>
      </c>
      <c r="C22" s="6" t="s">
        <v>99</v>
      </c>
      <c r="D22" s="5" t="s">
        <v>69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8"/>
    </row>
  </sheetData>
  <mergeCells count="7">
    <mergeCell ref="A2:P2"/>
    <mergeCell ref="A5:C5"/>
    <mergeCell ref="E5:H5"/>
    <mergeCell ref="J5:L5"/>
    <mergeCell ref="A6:C6"/>
    <mergeCell ref="E6:H6"/>
    <mergeCell ref="J6:L6"/>
  </mergeCells>
  <dataValidations count="5">
    <dataValidation type="list" allowBlank="1" sqref="G8:G22 H8:H22 I8:I22" xr:uid="{00000000-0002-0000-3E00-000000000000}">
      <formula1>"SIM,NÃO"</formula1>
    </dataValidation>
    <dataValidation type="list" allowBlank="1" sqref="J8:J22" xr:uid="{00000000-0002-0000-3E00-000001000000}">
      <formula1>"JANEIRO,FEVEREIRO,MARÇO,ABRIL,MAIO,JUNHO,JULHO,AGOSTO,SETEMBRO,OUTUBRO,NOVEMBRO,DEZEMBRO"</formula1>
    </dataValidation>
    <dataValidation type="list" allowBlank="1" sqref="L8:L22" xr:uid="{00000000-0002-0000-3E00-000002000000}">
      <formula1>"doença,Questões de saúde,Evasão escolar,Mudança de domicílio,Dificuldade de acesso/transporte,Outros"</formula1>
    </dataValidation>
    <dataValidation type="list" allowBlank="1" sqref="M8:M22" xr:uid="{00000000-0002-0000-3E00-000003000000}">
      <formula1>"PESSOALMENTE,TELEFONE,WHATSAPP,VISITA DOMICILIAR,OUTRO"</formula1>
    </dataValidation>
    <dataValidation type="list" allowBlank="1" sqref="O8:O22" xr:uid="{00000000-0002-0000-3E00-000004000000}">
      <formula1>"FREQUENTE,INFREQUENTE,EVADIDO,TRANSFERIDO,NÃO LOCALIZADO"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63</vt:i4>
      </vt:variant>
    </vt:vector>
  </HeadingPairs>
  <TitlesOfParts>
    <vt:vector size="63" baseType="lpstr">
      <vt:lpstr>SUMÁRIO</vt:lpstr>
      <vt:lpstr>26196743 - EDIVANDE GOUVEIA D</vt:lpstr>
      <vt:lpstr>26157284 - TIO ROBERTO</vt:lpstr>
      <vt:lpstr>26134553 - NILO PEREIRA</vt:lpstr>
      <vt:lpstr>26115530 - JOSE FIRMINO DA VE</vt:lpstr>
      <vt:lpstr>26187418 - NOSSA PRATA</vt:lpstr>
      <vt:lpstr>26116537 - JESUS DE NAZARE</vt:lpstr>
      <vt:lpstr>26182580 - MARIA ANUNCIADA DE</vt:lpstr>
      <vt:lpstr>26116790 - CONEGO COSTA CARVA</vt:lpstr>
      <vt:lpstr>26116901 - PRES TANCREDO DE A</vt:lpstr>
      <vt:lpstr>26116715 - ESCOLA MANOEL GONC</vt:lpstr>
      <vt:lpstr>26116057 - BRIGADEIRO ALDO PI</vt:lpstr>
      <vt:lpstr>26116162 - MARIA LUZIA PESSOA</vt:lpstr>
      <vt:lpstr>26116510 - MARILIA RUSSEL DE</vt:lpstr>
      <vt:lpstr>26136549 - PROF MARIA CONCEIC</vt:lpstr>
      <vt:lpstr>26116197 - PROF RUBENITA DE L</vt:lpstr>
      <vt:lpstr>26116766 - ABELARDO SALES DE</vt:lpstr>
      <vt:lpstr>26116740 - AGAMENON MAGALHAES</vt:lpstr>
      <vt:lpstr>26115700 - AMARO ALEXANDRINO</vt:lpstr>
      <vt:lpstr>26116243 - COMENDADOR ARTHUR</vt:lpstr>
      <vt:lpstr>26188678 - CORONEL JOAO PEREI</vt:lpstr>
      <vt:lpstr>26188686 - CORONEL JOSE JOAQU</vt:lpstr>
      <vt:lpstr>26188694 - DOUTOR GERALDO PIN</vt:lpstr>
      <vt:lpstr>26116286 - CARLOS ALVES</vt:lpstr>
      <vt:lpstr>26194139 - NELSON BANDEIRA DE</vt:lpstr>
      <vt:lpstr>26116804 - GELDA AMORIM</vt:lpstr>
      <vt:lpstr>26116812 - EDISON GOMES DO RE</vt:lpstr>
      <vt:lpstr>26188708 - ESCRITOR ARIANO VI</vt:lpstr>
      <vt:lpstr>26188660 - ESCRITOR CARLOS DR</vt:lpstr>
      <vt:lpstr>26116081 - FREDERICO LUNDGREN</vt:lpstr>
      <vt:lpstr>26170230 - GOVERNADOR CARLOS</vt:lpstr>
      <vt:lpstr>26179172 - GOVERNADOR MIGUEL</vt:lpstr>
      <vt:lpstr>26116820 - HEINZ HERING</vt:lpstr>
      <vt:lpstr>26188600 - IMPERATRIZ MARIA L</vt:lpstr>
      <vt:lpstr>26116839 - IRMA ASSUNTA</vt:lpstr>
      <vt:lpstr>26116847 - JAIME GONCALVES BO</vt:lpstr>
      <vt:lpstr>26116529 - JANDIRA WALDERLEY</vt:lpstr>
      <vt:lpstr>26116251 - JOAO F DE ALBUQUER</vt:lpstr>
      <vt:lpstr>26188716 - MANOEL ALVES DE MO</vt:lpstr>
      <vt:lpstr>26116260 - MARCILIO DIAS</vt:lpstr>
      <vt:lpstr>26116154 - MARIA DAS NEVES</vt:lpstr>
      <vt:lpstr>26193841 - MARIA JOSE BARBOSA</vt:lpstr>
      <vt:lpstr>26117215 - MATA DO RONCA</vt:lpstr>
      <vt:lpstr>26116880 - MINISTRO ETELVINO</vt:lpstr>
      <vt:lpstr>26116120 - MINISTRO MARCOS FR</vt:lpstr>
      <vt:lpstr>26196735 - MIRIAM FIRMINO DA</vt:lpstr>
      <vt:lpstr>26188724 - PESCADOR JOSE REIS</vt:lpstr>
      <vt:lpstr>26188732 - POETISA CECILIA ME</vt:lpstr>
      <vt:lpstr>26182564 - PAULO FREIRE</vt:lpstr>
      <vt:lpstr>26182556 - SALVADOR DIMECH</vt:lpstr>
      <vt:lpstr>26116910 - ALGA MARINA</vt:lpstr>
      <vt:lpstr>26188759 - EDNA MARINHO DA SI</vt:lpstr>
      <vt:lpstr>26188589 - IRACEMA CASTRO</vt:lpstr>
      <vt:lpstr>26184168 - MARGARIDA ALACOQUE</vt:lpstr>
      <vt:lpstr>26188546 - RADIALISTA EDVALDO</vt:lpstr>
      <vt:lpstr>26117509 - ROSA AMELIA</vt:lpstr>
      <vt:lpstr>26117339 - RURAL DE MUMBECA I</vt:lpstr>
      <vt:lpstr>26117380 - SAO BENTO</vt:lpstr>
      <vt:lpstr>26116618 - SUSIE REGIS</vt:lpstr>
      <vt:lpstr>26116235 - ZULIMA PINHO ALVES</vt:lpstr>
      <vt:lpstr>26116952 - ESCOLA PROFA TEREZ</vt:lpstr>
      <vt:lpstr>26117053 - FREI GUIDO</vt:lpstr>
      <vt:lpstr>26190486 - CEMEDI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Eduarda Andrade</cp:lastModifiedBy>
  <dcterms:created xsi:type="dcterms:W3CDTF">2026-07-27T15:15:51Z</dcterms:created>
  <dcterms:modified xsi:type="dcterms:W3CDTF">2026-08-04T21:59:03Z</dcterms:modified>
</cp:coreProperties>
</file>